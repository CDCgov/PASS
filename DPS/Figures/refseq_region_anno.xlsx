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Figure 2/"/>
    </mc:Choice>
  </mc:AlternateContent>
  <xr:revisionPtr revIDLastSave="2" documentId="13_ncr:1_{7D143E95-C067-4B3C-9711-970D6A8DF3CE}" xr6:coauthVersionLast="47" xr6:coauthVersionMax="47" xr10:uidLastSave="{DB2D21E6-B141-4A95-8C85-72EAF3E92694}"/>
  <bookViews>
    <workbookView xWindow="1060" yWindow="2600" windowWidth="9990" windowHeight="7270" xr2:uid="{4B789C49-70FB-402D-8F51-663A8978FD7F}"/>
  </bookViews>
  <sheets>
    <sheet name="sum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1" i="3" l="1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<sst xmlns="http://schemas.openxmlformats.org/spreadsheetml/2006/main" count="446" uniqueCount="34">
  <si>
    <t>type</t>
  </si>
  <si>
    <t>range</t>
  </si>
  <si>
    <t>region</t>
  </si>
  <si>
    <t>Non-polio enteroviruses</t>
  </si>
  <si>
    <t>Bacteria</t>
  </si>
  <si>
    <t>Non-entero viruses</t>
  </si>
  <si>
    <t>5'UTR</t>
  </si>
  <si>
    <t>count</t>
  </si>
  <si>
    <t>Archaea</t>
  </si>
  <si>
    <t>3'UTR</t>
  </si>
  <si>
    <t>Fungi</t>
  </si>
  <si>
    <t>Invertebrate</t>
  </si>
  <si>
    <t>Mitochondrion</t>
  </si>
  <si>
    <t>Plant</t>
  </si>
  <si>
    <t>Plasmid</t>
  </si>
  <si>
    <t>Protozoa</t>
  </si>
  <si>
    <t>Vertebrate (mam)</t>
  </si>
  <si>
    <t>Vertebrate (other)</t>
  </si>
  <si>
    <t>Plastid</t>
  </si>
  <si>
    <t>Other</t>
  </si>
  <si>
    <t>countlog</t>
  </si>
  <si>
    <t xml:space="preserve">Capsid Region </t>
  </si>
  <si>
    <t>2A-3D</t>
  </si>
  <si>
    <t>type_group</t>
  </si>
  <si>
    <t>Prokaryotes</t>
  </si>
  <si>
    <t>Plants &amp; Plant Organelles</t>
  </si>
  <si>
    <t>Animals</t>
  </si>
  <si>
    <t>Mobilome, Mitochondria, &amp; Other</t>
  </si>
  <si>
    <t>Eukaryotes</t>
  </si>
  <si>
    <t xml:space="preserve">200-999 </t>
  </si>
  <si>
    <t xml:space="preserve">100-199 </t>
  </si>
  <si>
    <t xml:space="preserve">1000+ </t>
  </si>
  <si>
    <t xml:space="preserve">50-99 </t>
  </si>
  <si>
    <t xml:space="preserve">&lt;50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</si>
</sst>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/>
    <xf numFmtId="0" fontId="1" fillId="0" borderId="2" xfId="0" applyFont="1" applyBorder="1"/>
  </cellXfs>
  <cellStyles count="1">
    <cellStyle name="Normal" xfId="0" builtinId="0"/>
  </cellStyles>
  <dxfs count="9">
    <dxf>
      <numFmt numFmtId="0" formatCode="General"/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top style="thin">
          <color theme="1"/>
        </top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4710D2-2D94-427C-8CBF-BA450B418BF0}" name="Table1" displayName="Table1" ref="A1:F111" totalsRowShown="0" headerRowDxfId="8" dataDxfId="6" headerRowBorderDxfId="7" tableBorderDxfId="5">
  <autoFilter ref="A1:F111" xr:uid="{D34710D2-2D94-427C-8CBF-BA450B418BF0}"/>
  <tableColumns count="6">
    <tableColumn id="1" xr3:uid="{AD4A4271-84DF-4BEC-9B77-A89CECFEB361}" name="type" dataDxfId="4"/>
    <tableColumn id="6" xr3:uid="{8A4A55F2-ED44-4BB5-94C5-C3C95432EB29}" name="type_group" dataDxfId="3"/>
    <tableColumn id="2" xr3:uid="{30099C99-82EB-447F-A168-E3248265B08A}" name="range" dataDxfId="2"/>
    <tableColumn id="3" xr3:uid="{9464F44F-C6B2-42FC-A45F-E5DCF76CC95B}" name="region" dataDxfId="1"/>
    <tableColumn id="4" xr3:uid="{90D74352-0B5C-4221-BAC6-036068056FBE}" name="count"/>
    <tableColumn id="5" xr3:uid="{9FE0FEE0-3ABB-44CF-87AF-DF005684EDBB}" name="countlog" dataDxfId="0">
      <calculatedColumnFormula>LOG10(Table1[[#This Row],[count]])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193A-C427-4427-9313-D72B27090170}">
  <dimension ref="A1:G111"/>
  <sheetViews>
    <sheetView tabSelected="1" topLeftCell="A104" workbookViewId="0">
      <selection activeCell="D107" sqref="D107"/>
    </sheetView>
  </sheetViews>
  <sheetFormatPr defaultRowHeight="14.5" x14ac:dyDescent="0.35"/>
  <cols>
    <col min="1" max="1" width="8.1796875" customWidth="1"/>
    <col min="2" max="2" width="15.54296875" customWidth="1"/>
    <col min="6" max="6" width="10.36328125" customWidth="1"/>
  </cols>
  <sheetData>
    <row r="1" spans="1:7" x14ac:dyDescent="0.35">
      <c r="A1" s="5" t="s">
        <v>0</v>
      </c>
      <c r="B1" s="5" t="s">
        <v>23</v>
      </c>
      <c r="C1" s="5" t="s">
        <v>1</v>
      </c>
      <c r="D1" s="5" t="s">
        <v>2</v>
      </c>
      <c r="E1" s="5" t="s">
        <v>7</v>
      </c>
      <c r="F1" s="5" t="s">
        <v>20</v>
      </c>
      <c r="G1" s="1"/>
    </row>
    <row r="2" spans="1:7" x14ac:dyDescent="0.35">
      <c r="A2" s="2" t="s">
        <v>4</v>
      </c>
      <c r="B2" s="2" t="s">
        <v>24</v>
      </c>
      <c r="C2" s="2" t="s">
        <v>29</v>
      </c>
      <c r="D2" s="2" t="s">
        <v>6</v>
      </c>
      <c r="E2">
        <v>3</v>
      </c>
      <c r="F2">
        <f>LOG10(Table1[[#This Row],[count]])</f>
        <v>0.47712125471966244</v>
      </c>
    </row>
    <row r="3" spans="1:7" x14ac:dyDescent="0.35">
      <c r="A3" s="2" t="s">
        <v>4</v>
      </c>
      <c r="B3" s="2" t="s">
        <v>24</v>
      </c>
      <c r="C3" t="s">
        <v>30</v>
      </c>
      <c r="D3" s="2" t="s">
        <v>6</v>
      </c>
      <c r="E3">
        <v>3</v>
      </c>
      <c r="F3">
        <f>LOG10(Table1[[#This Row],[count]])</f>
        <v>0.47712125471966244</v>
      </c>
    </row>
    <row r="4" spans="1:7" x14ac:dyDescent="0.35">
      <c r="A4" s="2" t="s">
        <v>4</v>
      </c>
      <c r="B4" s="2" t="s">
        <v>24</v>
      </c>
      <c r="C4" t="s">
        <v>31</v>
      </c>
      <c r="D4" s="2" t="s">
        <v>22</v>
      </c>
      <c r="E4">
        <v>15</v>
      </c>
      <c r="F4">
        <f>LOG10(Table1[[#This Row],[count]])</f>
        <v>1.1760912590556813</v>
      </c>
    </row>
    <row r="5" spans="1:7" x14ac:dyDescent="0.35">
      <c r="A5" s="2" t="s">
        <v>4</v>
      </c>
      <c r="B5" s="2" t="s">
        <v>24</v>
      </c>
      <c r="C5" s="2" t="s">
        <v>30</v>
      </c>
      <c r="D5" s="2" t="s">
        <v>22</v>
      </c>
      <c r="E5">
        <v>27</v>
      </c>
      <c r="F5">
        <f>LOG10(Table1[[#This Row],[count]])</f>
        <v>1.4313637641589874</v>
      </c>
    </row>
    <row r="6" spans="1:7" x14ac:dyDescent="0.35">
      <c r="A6" s="2" t="s">
        <v>4</v>
      </c>
      <c r="B6" s="2" t="s">
        <v>24</v>
      </c>
      <c r="C6" s="2" t="s">
        <v>29</v>
      </c>
      <c r="D6" s="2" t="s">
        <v>22</v>
      </c>
      <c r="E6">
        <v>39</v>
      </c>
      <c r="F6">
        <f>LOG10(Table1[[#This Row],[count]])</f>
        <v>1.5910646070264991</v>
      </c>
    </row>
    <row r="7" spans="1:7" x14ac:dyDescent="0.35">
      <c r="A7" s="2" t="s">
        <v>4</v>
      </c>
      <c r="B7" s="2" t="s">
        <v>24</v>
      </c>
      <c r="C7" s="2" t="s">
        <v>29</v>
      </c>
      <c r="D7" s="2" t="s">
        <v>21</v>
      </c>
      <c r="E7">
        <v>29</v>
      </c>
      <c r="F7">
        <f>LOG10(Table1[[#This Row],[count]])</f>
        <v>1.4623979978989561</v>
      </c>
    </row>
    <row r="8" spans="1:7" x14ac:dyDescent="0.35">
      <c r="A8" s="2" t="s">
        <v>4</v>
      </c>
      <c r="B8" s="2" t="s">
        <v>24</v>
      </c>
      <c r="C8" s="2" t="s">
        <v>30</v>
      </c>
      <c r="D8" s="2" t="s">
        <v>21</v>
      </c>
      <c r="E8">
        <v>25</v>
      </c>
      <c r="F8">
        <f>LOG10(Table1[[#This Row],[count]])</f>
        <v>1.3979400086720377</v>
      </c>
    </row>
    <row r="9" spans="1:7" x14ac:dyDescent="0.35">
      <c r="A9" s="2" t="s">
        <v>5</v>
      </c>
      <c r="B9" t="s">
        <v>5</v>
      </c>
      <c r="C9" s="2" t="s">
        <v>29</v>
      </c>
      <c r="D9" s="2" t="s">
        <v>6</v>
      </c>
      <c r="E9">
        <v>1</v>
      </c>
      <c r="F9">
        <f>LOG10(Table1[[#This Row],[count]])</f>
        <v>0</v>
      </c>
    </row>
    <row r="10" spans="1:7" x14ac:dyDescent="0.35">
      <c r="A10" t="s">
        <v>5</v>
      </c>
      <c r="B10" t="s">
        <v>5</v>
      </c>
      <c r="C10" t="s">
        <v>30</v>
      </c>
      <c r="D10" t="s">
        <v>6</v>
      </c>
      <c r="E10">
        <v>12</v>
      </c>
      <c r="F10">
        <f>LOG10(Table1[[#This Row],[count]])</f>
        <v>1.0791812460476249</v>
      </c>
    </row>
    <row r="11" spans="1:7" x14ac:dyDescent="0.35">
      <c r="A11" s="2" t="s">
        <v>5</v>
      </c>
      <c r="B11" t="s">
        <v>5</v>
      </c>
      <c r="C11" s="2" t="s">
        <v>29</v>
      </c>
      <c r="D11" s="2" t="s">
        <v>22</v>
      </c>
      <c r="E11">
        <v>34</v>
      </c>
      <c r="F11">
        <f>LOG10(Table1[[#This Row],[count]])</f>
        <v>1.5314789170422551</v>
      </c>
    </row>
    <row r="12" spans="1:7" x14ac:dyDescent="0.35">
      <c r="A12" t="s">
        <v>5</v>
      </c>
      <c r="B12" t="s">
        <v>5</v>
      </c>
      <c r="C12" t="s">
        <v>30</v>
      </c>
      <c r="D12" s="2" t="s">
        <v>22</v>
      </c>
      <c r="E12">
        <v>53</v>
      </c>
      <c r="F12">
        <f>LOG10(Table1[[#This Row],[count]])</f>
        <v>1.7242758696007889</v>
      </c>
    </row>
    <row r="13" spans="1:7" x14ac:dyDescent="0.35">
      <c r="A13" s="2" t="s">
        <v>5</v>
      </c>
      <c r="B13" t="s">
        <v>5</v>
      </c>
      <c r="C13" s="2" t="s">
        <v>29</v>
      </c>
      <c r="D13" s="2" t="s">
        <v>21</v>
      </c>
      <c r="E13">
        <v>3</v>
      </c>
      <c r="F13">
        <f>LOG10(Table1[[#This Row],[count]])</f>
        <v>0.47712125471966244</v>
      </c>
    </row>
    <row r="14" spans="1:7" x14ac:dyDescent="0.35">
      <c r="A14" t="s">
        <v>5</v>
      </c>
      <c r="B14" t="s">
        <v>5</v>
      </c>
      <c r="C14" t="s">
        <v>30</v>
      </c>
      <c r="D14" s="2" t="s">
        <v>21</v>
      </c>
      <c r="E14">
        <v>23</v>
      </c>
      <c r="F14">
        <f>LOG10(Table1[[#This Row],[count]])</f>
        <v>1.3617278360175928</v>
      </c>
    </row>
    <row r="15" spans="1:7" x14ac:dyDescent="0.35">
      <c r="A15" s="2" t="s">
        <v>3</v>
      </c>
      <c r="B15" s="2" t="s">
        <v>3</v>
      </c>
      <c r="C15" s="2" t="s">
        <v>29</v>
      </c>
      <c r="D15" s="2" t="s">
        <v>6</v>
      </c>
      <c r="E15">
        <v>22</v>
      </c>
      <c r="F15">
        <f>LOG10(Table1[[#This Row],[count]])</f>
        <v>1.3424226808222062</v>
      </c>
    </row>
    <row r="16" spans="1:7" x14ac:dyDescent="0.35">
      <c r="A16" s="2" t="s">
        <v>3</v>
      </c>
      <c r="B16" s="2" t="s">
        <v>3</v>
      </c>
      <c r="C16" s="2" t="s">
        <v>30</v>
      </c>
      <c r="D16" s="2" t="s">
        <v>6</v>
      </c>
      <c r="E16">
        <v>7</v>
      </c>
      <c r="F16">
        <f>LOG10(Table1[[#This Row],[count]])</f>
        <v>0.84509804001425681</v>
      </c>
    </row>
    <row r="17" spans="1:6" x14ac:dyDescent="0.35">
      <c r="A17" s="2" t="s">
        <v>3</v>
      </c>
      <c r="B17" s="2" t="s">
        <v>3</v>
      </c>
      <c r="C17" s="2" t="s">
        <v>31</v>
      </c>
      <c r="D17" s="2" t="s">
        <v>22</v>
      </c>
      <c r="E17">
        <v>28</v>
      </c>
      <c r="F17">
        <f>LOG10(Table1[[#This Row],[count]])</f>
        <v>1.4471580313422192</v>
      </c>
    </row>
    <row r="18" spans="1:6" x14ac:dyDescent="0.35">
      <c r="A18" s="2" t="s">
        <v>3</v>
      </c>
      <c r="B18" s="2" t="s">
        <v>3</v>
      </c>
      <c r="C18" s="2" t="s">
        <v>29</v>
      </c>
      <c r="D18" s="2" t="s">
        <v>22</v>
      </c>
      <c r="E18">
        <v>60</v>
      </c>
      <c r="F18">
        <f>LOG10(Table1[[#This Row],[count]])</f>
        <v>1.7781512503836436</v>
      </c>
    </row>
    <row r="19" spans="1:6" x14ac:dyDescent="0.35">
      <c r="A19" s="2" t="s">
        <v>3</v>
      </c>
      <c r="B19" s="2" t="s">
        <v>3</v>
      </c>
      <c r="C19" s="2" t="s">
        <v>30</v>
      </c>
      <c r="D19" s="2" t="s">
        <v>22</v>
      </c>
      <c r="E19">
        <v>50</v>
      </c>
      <c r="F19">
        <f>LOG10(Table1[[#This Row],[count]])</f>
        <v>1.6989700043360187</v>
      </c>
    </row>
    <row r="20" spans="1:6" x14ac:dyDescent="0.35">
      <c r="A20" s="2" t="s">
        <v>3</v>
      </c>
      <c r="B20" s="2" t="s">
        <v>3</v>
      </c>
      <c r="C20" s="2" t="s">
        <v>29</v>
      </c>
      <c r="D20" s="2" t="s">
        <v>21</v>
      </c>
      <c r="E20">
        <v>29</v>
      </c>
      <c r="F20">
        <f>LOG10(Table1[[#This Row],[count]])</f>
        <v>1.4623979978989561</v>
      </c>
    </row>
    <row r="21" spans="1:6" x14ac:dyDescent="0.35">
      <c r="A21" t="s">
        <v>3</v>
      </c>
      <c r="B21" s="2" t="s">
        <v>3</v>
      </c>
      <c r="C21" t="s">
        <v>30</v>
      </c>
      <c r="D21" s="2" t="s">
        <v>21</v>
      </c>
      <c r="E21">
        <v>38</v>
      </c>
      <c r="F21">
        <f>LOG10(Table1[[#This Row],[count]])</f>
        <v>1.5797835966168101</v>
      </c>
    </row>
    <row r="22" spans="1:6" x14ac:dyDescent="0.35">
      <c r="A22" s="3" t="s">
        <v>8</v>
      </c>
      <c r="B22" s="2" t="s">
        <v>24</v>
      </c>
      <c r="C22" t="s">
        <v>32</v>
      </c>
      <c r="D22" s="2" t="s">
        <v>22</v>
      </c>
      <c r="E22">
        <v>3</v>
      </c>
      <c r="F22">
        <f>LOG10(Table1[[#This Row],[count]])</f>
        <v>0.47712125471966244</v>
      </c>
    </row>
    <row r="23" spans="1:6" x14ac:dyDescent="0.35">
      <c r="A23" s="2" t="s">
        <v>4</v>
      </c>
      <c r="B23" s="2" t="s">
        <v>24</v>
      </c>
      <c r="C23" s="2" t="s">
        <v>32</v>
      </c>
      <c r="D23" s="2" t="s">
        <v>9</v>
      </c>
      <c r="E23">
        <v>6</v>
      </c>
      <c r="F23">
        <f>LOG10(Table1[[#This Row],[count]])</f>
        <v>0.77815125038364363</v>
      </c>
    </row>
    <row r="24" spans="1:6" x14ac:dyDescent="0.35">
      <c r="A24" s="2" t="s">
        <v>4</v>
      </c>
      <c r="B24" s="2" t="s">
        <v>24</v>
      </c>
      <c r="C24" s="2" t="s">
        <v>32</v>
      </c>
      <c r="D24" s="2" t="s">
        <v>6</v>
      </c>
      <c r="E24">
        <v>348</v>
      </c>
      <c r="F24">
        <f>LOG10(Table1[[#This Row],[count]])</f>
        <v>2.5415792439465807</v>
      </c>
    </row>
    <row r="25" spans="1:6" x14ac:dyDescent="0.35">
      <c r="A25" s="2" t="s">
        <v>4</v>
      </c>
      <c r="B25" s="2" t="s">
        <v>24</v>
      </c>
      <c r="C25" s="2" t="s">
        <v>32</v>
      </c>
      <c r="D25" s="2" t="s">
        <v>22</v>
      </c>
      <c r="E25">
        <v>1876</v>
      </c>
      <c r="F25">
        <f>LOG10(Table1[[#This Row],[count]])</f>
        <v>3.2732328340430454</v>
      </c>
    </row>
    <row r="26" spans="1:6" x14ac:dyDescent="0.35">
      <c r="A26" s="2" t="s">
        <v>4</v>
      </c>
      <c r="B26" s="2" t="s">
        <v>24</v>
      </c>
      <c r="C26" s="2" t="s">
        <v>32</v>
      </c>
      <c r="D26" s="2" t="s">
        <v>21</v>
      </c>
      <c r="E26">
        <v>415</v>
      </c>
      <c r="F26">
        <f>LOG10(Table1[[#This Row],[count]])</f>
        <v>2.6180480967120925</v>
      </c>
    </row>
    <row r="27" spans="1:6" x14ac:dyDescent="0.35">
      <c r="A27" s="2" t="s">
        <v>10</v>
      </c>
      <c r="B27" s="2" t="s">
        <v>28</v>
      </c>
      <c r="C27" s="2" t="s">
        <v>32</v>
      </c>
      <c r="D27" s="2" t="s">
        <v>22</v>
      </c>
      <c r="E27">
        <v>9</v>
      </c>
      <c r="F27">
        <f>LOG10(Table1[[#This Row],[count]])</f>
        <v>0.95424250943932487</v>
      </c>
    </row>
    <row r="28" spans="1:6" x14ac:dyDescent="0.35">
      <c r="A28" t="s">
        <v>10</v>
      </c>
      <c r="B28" s="2" t="s">
        <v>28</v>
      </c>
      <c r="C28" t="s">
        <v>32</v>
      </c>
      <c r="D28" t="s">
        <v>6</v>
      </c>
      <c r="E28">
        <v>2</v>
      </c>
      <c r="F28">
        <f>LOG10(Table1[[#This Row],[count]])</f>
        <v>0.3010299956639812</v>
      </c>
    </row>
    <row r="29" spans="1:6" x14ac:dyDescent="0.35">
      <c r="A29" t="s">
        <v>10</v>
      </c>
      <c r="B29" s="2" t="s">
        <v>28</v>
      </c>
      <c r="C29" t="s">
        <v>32</v>
      </c>
      <c r="D29" s="2" t="s">
        <v>21</v>
      </c>
      <c r="E29">
        <v>6</v>
      </c>
      <c r="F29">
        <f>LOG10(Table1[[#This Row],[count]])</f>
        <v>0.77815125038364363</v>
      </c>
    </row>
    <row r="30" spans="1:6" x14ac:dyDescent="0.35">
      <c r="A30" s="2" t="s">
        <v>11</v>
      </c>
      <c r="B30" s="2" t="s">
        <v>26</v>
      </c>
      <c r="C30" s="2" t="s">
        <v>32</v>
      </c>
      <c r="D30" s="2" t="s">
        <v>22</v>
      </c>
      <c r="E30">
        <v>27</v>
      </c>
      <c r="F30">
        <f>LOG10(Table1[[#This Row],[count]])</f>
        <v>1.4313637641589874</v>
      </c>
    </row>
    <row r="31" spans="1:6" x14ac:dyDescent="0.35">
      <c r="A31" t="s">
        <v>11</v>
      </c>
      <c r="B31" s="2" t="s">
        <v>26</v>
      </c>
      <c r="C31" t="s">
        <v>32</v>
      </c>
      <c r="D31" t="s">
        <v>9</v>
      </c>
      <c r="E31">
        <v>1</v>
      </c>
      <c r="F31">
        <f>LOG10(Table1[[#This Row],[count]])</f>
        <v>0</v>
      </c>
    </row>
    <row r="32" spans="1:6" x14ac:dyDescent="0.35">
      <c r="A32" s="2" t="s">
        <v>11</v>
      </c>
      <c r="B32" s="2" t="s">
        <v>26</v>
      </c>
      <c r="C32" s="2" t="s">
        <v>32</v>
      </c>
      <c r="D32" s="2" t="s">
        <v>6</v>
      </c>
      <c r="E32">
        <v>3</v>
      </c>
      <c r="F32">
        <f>LOG10(Table1[[#This Row],[count]])</f>
        <v>0.47712125471966244</v>
      </c>
    </row>
    <row r="33" spans="1:6" x14ac:dyDescent="0.35">
      <c r="A33" t="s">
        <v>11</v>
      </c>
      <c r="B33" s="2" t="s">
        <v>26</v>
      </c>
      <c r="C33" t="s">
        <v>32</v>
      </c>
      <c r="D33" s="2" t="s">
        <v>21</v>
      </c>
      <c r="E33">
        <v>4</v>
      </c>
      <c r="F33">
        <f>LOG10(Table1[[#This Row],[count]])</f>
        <v>0.6020599913279624</v>
      </c>
    </row>
    <row r="34" spans="1:6" x14ac:dyDescent="0.35">
      <c r="A34" s="2" t="s">
        <v>12</v>
      </c>
      <c r="B34" s="2" t="s">
        <v>27</v>
      </c>
      <c r="C34" s="2" t="s">
        <v>32</v>
      </c>
      <c r="D34" s="2" t="s">
        <v>6</v>
      </c>
      <c r="E34">
        <v>1</v>
      </c>
      <c r="F34">
        <f>LOG10(Table1[[#This Row],[count]])</f>
        <v>0</v>
      </c>
    </row>
    <row r="35" spans="1:6" x14ac:dyDescent="0.35">
      <c r="A35" t="s">
        <v>12</v>
      </c>
      <c r="B35" s="2" t="s">
        <v>27</v>
      </c>
      <c r="C35" t="s">
        <v>32</v>
      </c>
      <c r="D35" s="2" t="s">
        <v>21</v>
      </c>
      <c r="E35">
        <v>3</v>
      </c>
      <c r="F35">
        <f>LOG10(Table1[[#This Row],[count]])</f>
        <v>0.47712125471966244</v>
      </c>
    </row>
    <row r="36" spans="1:6" x14ac:dyDescent="0.35">
      <c r="A36" s="2" t="s">
        <v>5</v>
      </c>
      <c r="B36" t="s">
        <v>5</v>
      </c>
      <c r="C36" s="2" t="s">
        <v>32</v>
      </c>
      <c r="D36" s="2" t="s">
        <v>22</v>
      </c>
      <c r="E36">
        <v>67</v>
      </c>
      <c r="F36">
        <f>LOG10(Table1[[#This Row],[count]])</f>
        <v>1.8260748027008264</v>
      </c>
    </row>
    <row r="37" spans="1:6" x14ac:dyDescent="0.35">
      <c r="A37" t="s">
        <v>5</v>
      </c>
      <c r="B37" t="s">
        <v>5</v>
      </c>
      <c r="C37" t="s">
        <v>32</v>
      </c>
      <c r="D37" t="s">
        <v>6</v>
      </c>
      <c r="E37">
        <v>7</v>
      </c>
      <c r="F37">
        <f>LOG10(Table1[[#This Row],[count]])</f>
        <v>0.84509804001425681</v>
      </c>
    </row>
    <row r="38" spans="1:6" x14ac:dyDescent="0.35">
      <c r="A38" s="2" t="s">
        <v>5</v>
      </c>
      <c r="B38" t="s">
        <v>5</v>
      </c>
      <c r="C38" s="2" t="s">
        <v>32</v>
      </c>
      <c r="D38" s="2" t="s">
        <v>21</v>
      </c>
      <c r="E38">
        <v>26</v>
      </c>
      <c r="F38">
        <f>LOG10(Table1[[#This Row],[count]])</f>
        <v>1.414973347970818</v>
      </c>
    </row>
    <row r="39" spans="1:6" x14ac:dyDescent="0.35">
      <c r="A39" s="2" t="s">
        <v>3</v>
      </c>
      <c r="B39" s="2" t="s">
        <v>3</v>
      </c>
      <c r="C39" s="2" t="s">
        <v>32</v>
      </c>
      <c r="D39" s="2" t="s">
        <v>22</v>
      </c>
      <c r="E39">
        <v>38</v>
      </c>
      <c r="F39">
        <f>LOG10(Table1[[#This Row],[count]])</f>
        <v>1.5797835966168101</v>
      </c>
    </row>
    <row r="40" spans="1:6" x14ac:dyDescent="0.35">
      <c r="A40" t="s">
        <v>3</v>
      </c>
      <c r="B40" s="2" t="s">
        <v>3</v>
      </c>
      <c r="C40" t="s">
        <v>32</v>
      </c>
      <c r="D40" t="s">
        <v>6</v>
      </c>
      <c r="E40">
        <v>8</v>
      </c>
      <c r="F40">
        <f>LOG10(Table1[[#This Row],[count]])</f>
        <v>0.90308998699194354</v>
      </c>
    </row>
    <row r="41" spans="1:6" x14ac:dyDescent="0.35">
      <c r="A41" s="2" t="s">
        <v>3</v>
      </c>
      <c r="B41" s="2" t="s">
        <v>3</v>
      </c>
      <c r="C41" s="2" t="s">
        <v>32</v>
      </c>
      <c r="D41" s="2" t="s">
        <v>21</v>
      </c>
      <c r="E41">
        <v>31</v>
      </c>
      <c r="F41">
        <f>LOG10(Table1[[#This Row],[count]])</f>
        <v>1.4913616938342726</v>
      </c>
    </row>
    <row r="42" spans="1:6" x14ac:dyDescent="0.35">
      <c r="A42" s="2" t="s">
        <v>13</v>
      </c>
      <c r="B42" s="2" t="s">
        <v>25</v>
      </c>
      <c r="C42" s="2" t="s">
        <v>32</v>
      </c>
      <c r="D42" s="2" t="s">
        <v>22</v>
      </c>
      <c r="E42">
        <v>68</v>
      </c>
      <c r="F42">
        <f>LOG10(Table1[[#This Row],[count]])</f>
        <v>1.8325089127062364</v>
      </c>
    </row>
    <row r="43" spans="1:6" x14ac:dyDescent="0.35">
      <c r="A43" s="2" t="s">
        <v>13</v>
      </c>
      <c r="B43" s="2" t="s">
        <v>25</v>
      </c>
      <c r="C43" s="2" t="s">
        <v>32</v>
      </c>
      <c r="D43" s="2" t="s">
        <v>9</v>
      </c>
      <c r="E43">
        <v>1</v>
      </c>
      <c r="F43">
        <f>LOG10(Table1[[#This Row],[count]])</f>
        <v>0</v>
      </c>
    </row>
    <row r="44" spans="1:6" x14ac:dyDescent="0.35">
      <c r="A44" t="s">
        <v>13</v>
      </c>
      <c r="B44" s="2" t="s">
        <v>25</v>
      </c>
      <c r="C44" t="s">
        <v>32</v>
      </c>
      <c r="D44" t="s">
        <v>6</v>
      </c>
      <c r="E44">
        <v>8</v>
      </c>
      <c r="F44">
        <f>LOG10(Table1[[#This Row],[count]])</f>
        <v>0.90308998699194354</v>
      </c>
    </row>
    <row r="45" spans="1:6" x14ac:dyDescent="0.35">
      <c r="A45" t="s">
        <v>13</v>
      </c>
      <c r="B45" s="2" t="s">
        <v>25</v>
      </c>
      <c r="C45" t="s">
        <v>32</v>
      </c>
      <c r="D45" s="2" t="s">
        <v>21</v>
      </c>
      <c r="E45">
        <v>11</v>
      </c>
      <c r="F45">
        <f>LOG10(Table1[[#This Row],[count]])</f>
        <v>1.0413926851582251</v>
      </c>
    </row>
    <row r="46" spans="1:6" x14ac:dyDescent="0.35">
      <c r="A46" s="2" t="s">
        <v>14</v>
      </c>
      <c r="B46" s="2" t="s">
        <v>27</v>
      </c>
      <c r="C46" s="2" t="s">
        <v>32</v>
      </c>
      <c r="D46" s="2" t="s">
        <v>22</v>
      </c>
      <c r="E46">
        <v>4</v>
      </c>
      <c r="F46">
        <f>LOG10(Table1[[#This Row],[count]])</f>
        <v>0.6020599913279624</v>
      </c>
    </row>
    <row r="47" spans="1:6" x14ac:dyDescent="0.35">
      <c r="A47" s="2" t="s">
        <v>15</v>
      </c>
      <c r="B47" s="2" t="s">
        <v>28</v>
      </c>
      <c r="C47" s="2" t="s">
        <v>32</v>
      </c>
      <c r="D47" s="2" t="s">
        <v>22</v>
      </c>
      <c r="E47">
        <v>16</v>
      </c>
      <c r="F47">
        <f>LOG10(Table1[[#This Row],[count]])</f>
        <v>1.2041199826559248</v>
      </c>
    </row>
    <row r="48" spans="1:6" x14ac:dyDescent="0.35">
      <c r="A48" s="2" t="s">
        <v>15</v>
      </c>
      <c r="B48" s="2" t="s">
        <v>28</v>
      </c>
      <c r="C48" s="2" t="s">
        <v>32</v>
      </c>
      <c r="D48" s="2" t="s">
        <v>6</v>
      </c>
      <c r="E48">
        <v>1</v>
      </c>
      <c r="F48">
        <f>LOG10(Table1[[#This Row],[count]])</f>
        <v>0</v>
      </c>
    </row>
    <row r="49" spans="1:6" x14ac:dyDescent="0.35">
      <c r="A49" s="4" t="s">
        <v>15</v>
      </c>
      <c r="B49" s="2" t="s">
        <v>28</v>
      </c>
      <c r="C49" s="4" t="s">
        <v>32</v>
      </c>
      <c r="D49" s="2" t="s">
        <v>21</v>
      </c>
      <c r="E49">
        <v>1</v>
      </c>
      <c r="F49">
        <f>LOG10(Table1[[#This Row],[count]])</f>
        <v>0</v>
      </c>
    </row>
    <row r="50" spans="1:6" x14ac:dyDescent="0.35">
      <c r="A50" s="2" t="s">
        <v>16</v>
      </c>
      <c r="B50" s="2" t="s">
        <v>26</v>
      </c>
      <c r="C50" s="2" t="s">
        <v>32</v>
      </c>
      <c r="D50" s="2" t="s">
        <v>9</v>
      </c>
      <c r="E50">
        <v>18</v>
      </c>
      <c r="F50">
        <f>LOG10(Table1[[#This Row],[count]])</f>
        <v>1.255272505103306</v>
      </c>
    </row>
    <row r="51" spans="1:6" x14ac:dyDescent="0.35">
      <c r="A51" s="3" t="s">
        <v>16</v>
      </c>
      <c r="B51" s="2" t="s">
        <v>26</v>
      </c>
      <c r="C51" s="3" t="s">
        <v>32</v>
      </c>
      <c r="D51" s="3" t="s">
        <v>6</v>
      </c>
      <c r="E51">
        <v>311</v>
      </c>
      <c r="F51">
        <f>LOG10(Table1[[#This Row],[count]])</f>
        <v>2.4927603890268375</v>
      </c>
    </row>
    <row r="52" spans="1:6" x14ac:dyDescent="0.35">
      <c r="A52" s="2" t="s">
        <v>16</v>
      </c>
      <c r="B52" s="2" t="s">
        <v>26</v>
      </c>
      <c r="C52" s="2" t="s">
        <v>32</v>
      </c>
      <c r="D52" s="2" t="s">
        <v>22</v>
      </c>
      <c r="E52">
        <v>6248</v>
      </c>
      <c r="F52">
        <f>LOG10(Table1[[#This Row],[count]])</f>
        <v>3.7957410208692437</v>
      </c>
    </row>
    <row r="53" spans="1:6" x14ac:dyDescent="0.35">
      <c r="A53" s="2" t="s">
        <v>16</v>
      </c>
      <c r="B53" s="2" t="s">
        <v>26</v>
      </c>
      <c r="C53" s="2" t="s">
        <v>32</v>
      </c>
      <c r="D53" s="2" t="s">
        <v>21</v>
      </c>
      <c r="E53">
        <v>1235</v>
      </c>
      <c r="F53">
        <f>LOG10(Table1[[#This Row],[count]])</f>
        <v>3.0916669575956846</v>
      </c>
    </row>
    <row r="54" spans="1:6" x14ac:dyDescent="0.35">
      <c r="A54" s="2" t="s">
        <v>17</v>
      </c>
      <c r="B54" s="2" t="s">
        <v>26</v>
      </c>
      <c r="C54" s="2" t="s">
        <v>32</v>
      </c>
      <c r="D54" s="2" t="s">
        <v>9</v>
      </c>
      <c r="E54">
        <v>24</v>
      </c>
      <c r="F54">
        <f>LOG10(Table1[[#This Row],[count]])</f>
        <v>1.3802112417116059</v>
      </c>
    </row>
    <row r="55" spans="1:6" x14ac:dyDescent="0.35">
      <c r="A55" s="2" t="s">
        <v>17</v>
      </c>
      <c r="B55" s="2" t="s">
        <v>26</v>
      </c>
      <c r="C55" s="2" t="s">
        <v>32</v>
      </c>
      <c r="D55" s="2" t="s">
        <v>6</v>
      </c>
      <c r="E55">
        <v>438</v>
      </c>
      <c r="F55">
        <f>LOG10(Table1[[#This Row],[count]])</f>
        <v>2.6414741105040997</v>
      </c>
    </row>
    <row r="56" spans="1:6" x14ac:dyDescent="0.35">
      <c r="A56" s="2" t="s">
        <v>17</v>
      </c>
      <c r="B56" s="2" t="s">
        <v>26</v>
      </c>
      <c r="C56" s="2" t="s">
        <v>32</v>
      </c>
      <c r="D56" s="2" t="s">
        <v>22</v>
      </c>
      <c r="E56">
        <v>3822</v>
      </c>
      <c r="F56">
        <f>LOG10(Table1[[#This Row],[count]])</f>
        <v>3.5822906827189942</v>
      </c>
    </row>
    <row r="57" spans="1:6" x14ac:dyDescent="0.35">
      <c r="A57" s="2" t="s">
        <v>17</v>
      </c>
      <c r="B57" s="2" t="s">
        <v>26</v>
      </c>
      <c r="C57" s="2" t="s">
        <v>32</v>
      </c>
      <c r="D57" s="2" t="s">
        <v>21</v>
      </c>
      <c r="E57">
        <v>1206</v>
      </c>
      <c r="F57">
        <f>LOG10(Table1[[#This Row],[count]])</f>
        <v>3.0813473078041325</v>
      </c>
    </row>
    <row r="58" spans="1:6" x14ac:dyDescent="0.35">
      <c r="A58" s="2" t="s">
        <v>8</v>
      </c>
      <c r="B58" s="2" t="s">
        <v>24</v>
      </c>
      <c r="C58" s="2" t="s">
        <v>33</v>
      </c>
      <c r="D58" s="2" t="s">
        <v>9</v>
      </c>
      <c r="E58">
        <v>10</v>
      </c>
      <c r="F58">
        <f>LOG10(Table1[[#This Row],[count]])</f>
        <v>1</v>
      </c>
    </row>
    <row r="59" spans="1:6" x14ac:dyDescent="0.35">
      <c r="A59" s="2" t="s">
        <v>4</v>
      </c>
      <c r="B59" s="2" t="s">
        <v>24</v>
      </c>
      <c r="C59" s="2" t="s">
        <v>33</v>
      </c>
      <c r="D59" s="2" t="s">
        <v>9</v>
      </c>
      <c r="E59">
        <v>27256</v>
      </c>
      <c r="F59">
        <f>LOG10(Table1[[#This Row],[count]])</f>
        <v>4.435462120559821</v>
      </c>
    </row>
    <row r="60" spans="1:6" x14ac:dyDescent="0.35">
      <c r="A60" s="2" t="s">
        <v>10</v>
      </c>
      <c r="B60" s="2" t="s">
        <v>28</v>
      </c>
      <c r="C60" s="2" t="s">
        <v>33</v>
      </c>
      <c r="D60" s="2" t="s">
        <v>9</v>
      </c>
      <c r="E60">
        <v>11</v>
      </c>
      <c r="F60">
        <f>LOG10(Table1[[#This Row],[count]])</f>
        <v>1.0413926851582251</v>
      </c>
    </row>
    <row r="61" spans="1:6" x14ac:dyDescent="0.35">
      <c r="A61" s="2" t="s">
        <v>11</v>
      </c>
      <c r="B61" s="2" t="s">
        <v>26</v>
      </c>
      <c r="C61" s="2" t="s">
        <v>33</v>
      </c>
      <c r="D61" s="2" t="s">
        <v>9</v>
      </c>
      <c r="E61">
        <v>55</v>
      </c>
      <c r="F61">
        <f>LOG10(Table1[[#This Row],[count]])</f>
        <v>1.7403626894942439</v>
      </c>
    </row>
    <row r="62" spans="1:6" x14ac:dyDescent="0.35">
      <c r="A62" s="2" t="s">
        <v>12</v>
      </c>
      <c r="B62" s="2" t="s">
        <v>27</v>
      </c>
      <c r="C62" s="2" t="s">
        <v>33</v>
      </c>
      <c r="D62" s="2" t="s">
        <v>9</v>
      </c>
      <c r="E62">
        <v>64</v>
      </c>
      <c r="F62">
        <f>LOG10(Table1[[#This Row],[count]])</f>
        <v>1.8061799739838871</v>
      </c>
    </row>
    <row r="63" spans="1:6" x14ac:dyDescent="0.35">
      <c r="A63" s="2" t="s">
        <v>5</v>
      </c>
      <c r="B63" t="s">
        <v>5</v>
      </c>
      <c r="C63" s="2" t="s">
        <v>33</v>
      </c>
      <c r="D63" s="2" t="s">
        <v>9</v>
      </c>
      <c r="E63">
        <v>23</v>
      </c>
      <c r="F63">
        <f>LOG10(Table1[[#This Row],[count]])</f>
        <v>1.3617278360175928</v>
      </c>
    </row>
    <row r="64" spans="1:6" x14ac:dyDescent="0.35">
      <c r="A64" s="2" t="s">
        <v>13</v>
      </c>
      <c r="B64" s="2" t="s">
        <v>25</v>
      </c>
      <c r="C64" s="2" t="s">
        <v>33</v>
      </c>
      <c r="D64" s="2" t="s">
        <v>9</v>
      </c>
      <c r="E64">
        <v>47</v>
      </c>
      <c r="F64">
        <f>LOG10(Table1[[#This Row],[count]])</f>
        <v>1.6720978579357175</v>
      </c>
    </row>
    <row r="65" spans="1:6" x14ac:dyDescent="0.35">
      <c r="A65" t="s">
        <v>14</v>
      </c>
      <c r="B65" s="2" t="s">
        <v>27</v>
      </c>
      <c r="C65" t="s">
        <v>33</v>
      </c>
      <c r="D65" t="s">
        <v>9</v>
      </c>
      <c r="E65">
        <v>8</v>
      </c>
      <c r="F65">
        <f>LOG10(Table1[[#This Row],[count]])</f>
        <v>0.90308998699194354</v>
      </c>
    </row>
    <row r="66" spans="1:6" x14ac:dyDescent="0.35">
      <c r="A66" s="2" t="s">
        <v>18</v>
      </c>
      <c r="B66" s="2" t="s">
        <v>25</v>
      </c>
      <c r="C66" s="2" t="s">
        <v>33</v>
      </c>
      <c r="D66" s="2" t="s">
        <v>9</v>
      </c>
      <c r="E66">
        <v>8</v>
      </c>
      <c r="F66">
        <f>LOG10(Table1[[#This Row],[count]])</f>
        <v>0.90308998699194354</v>
      </c>
    </row>
    <row r="67" spans="1:6" x14ac:dyDescent="0.35">
      <c r="A67" s="2" t="s">
        <v>15</v>
      </c>
      <c r="B67" s="2" t="s">
        <v>28</v>
      </c>
      <c r="C67" s="2" t="s">
        <v>33</v>
      </c>
      <c r="D67" s="2" t="s">
        <v>9</v>
      </c>
      <c r="E67">
        <v>11</v>
      </c>
      <c r="F67">
        <f>LOG10(Table1[[#This Row],[count]])</f>
        <v>1.0413926851582251</v>
      </c>
    </row>
    <row r="68" spans="1:6" x14ac:dyDescent="0.35">
      <c r="A68" s="2" t="s">
        <v>16</v>
      </c>
      <c r="B68" s="2" t="s">
        <v>26</v>
      </c>
      <c r="C68" s="2" t="s">
        <v>33</v>
      </c>
      <c r="D68" s="2" t="s">
        <v>9</v>
      </c>
      <c r="E68">
        <v>9275</v>
      </c>
      <c r="F68">
        <f>LOG10(Table1[[#This Row],[count]])</f>
        <v>3.9673139182870836</v>
      </c>
    </row>
    <row r="69" spans="1:6" x14ac:dyDescent="0.35">
      <c r="A69" s="2" t="s">
        <v>17</v>
      </c>
      <c r="B69" s="2" t="s">
        <v>26</v>
      </c>
      <c r="C69" s="2" t="s">
        <v>33</v>
      </c>
      <c r="D69" s="2" t="s">
        <v>9</v>
      </c>
      <c r="E69">
        <v>8514</v>
      </c>
      <c r="F69">
        <f>LOG10(Table1[[#This Row],[count]])</f>
        <v>3.9301336458411176</v>
      </c>
    </row>
    <row r="70" spans="1:6" x14ac:dyDescent="0.35">
      <c r="A70" s="2" t="s">
        <v>8</v>
      </c>
      <c r="B70" s="2" t="s">
        <v>24</v>
      </c>
      <c r="C70" s="2" t="s">
        <v>33</v>
      </c>
      <c r="D70" s="2" t="s">
        <v>6</v>
      </c>
      <c r="E70">
        <v>28</v>
      </c>
      <c r="F70">
        <f>LOG10(Table1[[#This Row],[count]])</f>
        <v>1.4471580313422192</v>
      </c>
    </row>
    <row r="71" spans="1:6" x14ac:dyDescent="0.35">
      <c r="A71" s="2" t="s">
        <v>4</v>
      </c>
      <c r="B71" s="2" t="s">
        <v>24</v>
      </c>
      <c r="C71" s="2" t="s">
        <v>33</v>
      </c>
      <c r="D71" s="2" t="s">
        <v>6</v>
      </c>
      <c r="E71">
        <v>62705</v>
      </c>
      <c r="F71">
        <f>LOG10(Table1[[#This Row],[count]])</f>
        <v>4.797302172183703</v>
      </c>
    </row>
    <row r="72" spans="1:6" x14ac:dyDescent="0.35">
      <c r="A72" s="2" t="s">
        <v>10</v>
      </c>
      <c r="B72" s="2" t="s">
        <v>28</v>
      </c>
      <c r="C72" s="2" t="s">
        <v>33</v>
      </c>
      <c r="D72" s="2" t="s">
        <v>6</v>
      </c>
      <c r="E72">
        <v>44</v>
      </c>
      <c r="F72">
        <f>LOG10(Table1[[#This Row],[count]])</f>
        <v>1.6434526764861874</v>
      </c>
    </row>
    <row r="73" spans="1:6" x14ac:dyDescent="0.35">
      <c r="A73" s="2" t="s">
        <v>11</v>
      </c>
      <c r="B73" s="2" t="s">
        <v>26</v>
      </c>
      <c r="C73" s="2" t="s">
        <v>33</v>
      </c>
      <c r="D73" s="2" t="s">
        <v>6</v>
      </c>
      <c r="E73">
        <v>19</v>
      </c>
      <c r="F73">
        <f>LOG10(Table1[[#This Row],[count]])</f>
        <v>1.2787536009528289</v>
      </c>
    </row>
    <row r="74" spans="1:6" x14ac:dyDescent="0.35">
      <c r="A74" s="2" t="s">
        <v>12</v>
      </c>
      <c r="B74" s="2" t="s">
        <v>27</v>
      </c>
      <c r="C74" s="2" t="s">
        <v>33</v>
      </c>
      <c r="D74" s="2" t="s">
        <v>6</v>
      </c>
      <c r="E74">
        <v>53</v>
      </c>
      <c r="F74">
        <f>LOG10(Table1[[#This Row],[count]])</f>
        <v>1.7242758696007889</v>
      </c>
    </row>
    <row r="75" spans="1:6" x14ac:dyDescent="0.35">
      <c r="A75" s="2" t="s">
        <v>5</v>
      </c>
      <c r="B75" t="s">
        <v>5</v>
      </c>
      <c r="C75" s="2" t="s">
        <v>33</v>
      </c>
      <c r="D75" s="2" t="s">
        <v>6</v>
      </c>
      <c r="E75">
        <v>49</v>
      </c>
      <c r="F75">
        <f>LOG10(Table1[[#This Row],[count]])</f>
        <v>1.6901960800285136</v>
      </c>
    </row>
    <row r="76" spans="1:6" x14ac:dyDescent="0.35">
      <c r="A76" s="2" t="s">
        <v>3</v>
      </c>
      <c r="B76" s="2" t="s">
        <v>3</v>
      </c>
      <c r="C76" s="2" t="s">
        <v>33</v>
      </c>
      <c r="D76" s="2" t="s">
        <v>6</v>
      </c>
      <c r="E76">
        <v>7</v>
      </c>
      <c r="F76">
        <f>LOG10(Table1[[#This Row],[count]])</f>
        <v>0.84509804001425681</v>
      </c>
    </row>
    <row r="77" spans="1:6" x14ac:dyDescent="0.35">
      <c r="A77" s="2" t="s">
        <v>19</v>
      </c>
      <c r="B77" s="2" t="s">
        <v>27</v>
      </c>
      <c r="C77" s="2" t="s">
        <v>33</v>
      </c>
      <c r="D77" s="2" t="s">
        <v>6</v>
      </c>
      <c r="E77">
        <v>3</v>
      </c>
      <c r="F77">
        <f>LOG10(Table1[[#This Row],[count]])</f>
        <v>0.47712125471966244</v>
      </c>
    </row>
    <row r="78" spans="1:6" x14ac:dyDescent="0.35">
      <c r="A78" s="2" t="s">
        <v>13</v>
      </c>
      <c r="B78" s="2" t="s">
        <v>25</v>
      </c>
      <c r="C78" s="2" t="s">
        <v>33</v>
      </c>
      <c r="D78" s="2" t="s">
        <v>6</v>
      </c>
      <c r="E78">
        <v>82</v>
      </c>
      <c r="F78">
        <f>LOG10(Table1[[#This Row],[count]])</f>
        <v>1.9138138523837167</v>
      </c>
    </row>
    <row r="79" spans="1:6" x14ac:dyDescent="0.35">
      <c r="A79" s="2" t="s">
        <v>14</v>
      </c>
      <c r="B79" s="2" t="s">
        <v>27</v>
      </c>
      <c r="C79" s="2" t="s">
        <v>33</v>
      </c>
      <c r="D79" s="2" t="s">
        <v>6</v>
      </c>
      <c r="E79">
        <v>10</v>
      </c>
      <c r="F79">
        <f>LOG10(Table1[[#This Row],[count]])</f>
        <v>1</v>
      </c>
    </row>
    <row r="80" spans="1:6" x14ac:dyDescent="0.35">
      <c r="A80" t="s">
        <v>18</v>
      </c>
      <c r="B80" s="2" t="s">
        <v>25</v>
      </c>
      <c r="C80" t="s">
        <v>33</v>
      </c>
      <c r="D80" t="s">
        <v>6</v>
      </c>
      <c r="E80">
        <v>9</v>
      </c>
      <c r="F80">
        <f>LOG10(Table1[[#This Row],[count]])</f>
        <v>0.95424250943932487</v>
      </c>
    </row>
    <row r="81" spans="1:6" x14ac:dyDescent="0.35">
      <c r="A81" s="2" t="s">
        <v>15</v>
      </c>
      <c r="B81" s="2" t="s">
        <v>28</v>
      </c>
      <c r="C81" s="2" t="s">
        <v>33</v>
      </c>
      <c r="D81" s="2" t="s">
        <v>6</v>
      </c>
      <c r="E81">
        <v>163</v>
      </c>
      <c r="F81">
        <f>LOG10(Table1[[#This Row],[count]])</f>
        <v>2.2121876044039577</v>
      </c>
    </row>
    <row r="82" spans="1:6" x14ac:dyDescent="0.35">
      <c r="A82" s="2" t="s">
        <v>16</v>
      </c>
      <c r="B82" s="2" t="s">
        <v>26</v>
      </c>
      <c r="C82" s="2" t="s">
        <v>33</v>
      </c>
      <c r="D82" s="2" t="s">
        <v>6</v>
      </c>
      <c r="E82">
        <v>10736</v>
      </c>
      <c r="F82">
        <f>LOG10(Table1[[#This Row],[count]])</f>
        <v>4.0308425028249166</v>
      </c>
    </row>
    <row r="83" spans="1:6" x14ac:dyDescent="0.35">
      <c r="A83" s="2" t="s">
        <v>17</v>
      </c>
      <c r="B83" s="2" t="s">
        <v>26</v>
      </c>
      <c r="C83" s="2" t="s">
        <v>33</v>
      </c>
      <c r="D83" s="2" t="s">
        <v>6</v>
      </c>
      <c r="E83">
        <v>13270</v>
      </c>
      <c r="F83">
        <f>LOG10(Table1[[#This Row],[count]])</f>
        <v>4.1228709228644354</v>
      </c>
    </row>
    <row r="84" spans="1:6" x14ac:dyDescent="0.35">
      <c r="A84" s="2" t="s">
        <v>8</v>
      </c>
      <c r="B84" s="2" t="s">
        <v>24</v>
      </c>
      <c r="C84" s="2" t="s">
        <v>33</v>
      </c>
      <c r="D84" s="2" t="s">
        <v>22</v>
      </c>
      <c r="E84">
        <v>229</v>
      </c>
      <c r="F84">
        <f>LOG10(Table1[[#This Row],[count]])</f>
        <v>2.3598354823398879</v>
      </c>
    </row>
    <row r="85" spans="1:6" x14ac:dyDescent="0.35">
      <c r="A85" s="2" t="s">
        <v>4</v>
      </c>
      <c r="B85" s="2" t="s">
        <v>24</v>
      </c>
      <c r="C85" s="2" t="s">
        <v>33</v>
      </c>
      <c r="D85" s="2" t="s">
        <v>22</v>
      </c>
      <c r="E85">
        <v>486855</v>
      </c>
      <c r="F85">
        <f>LOG10(Table1[[#This Row],[count]])</f>
        <v>5.6873996345687958</v>
      </c>
    </row>
    <row r="86" spans="1:6" x14ac:dyDescent="0.35">
      <c r="A86" s="2" t="s">
        <v>10</v>
      </c>
      <c r="B86" s="2" t="s">
        <v>28</v>
      </c>
      <c r="C86" s="2" t="s">
        <v>33</v>
      </c>
      <c r="D86" s="2" t="s">
        <v>22</v>
      </c>
      <c r="E86">
        <v>322</v>
      </c>
      <c r="F86">
        <f>LOG10(Table1[[#This Row],[count]])</f>
        <v>2.5078558716958308</v>
      </c>
    </row>
    <row r="87" spans="1:6" x14ac:dyDescent="0.35">
      <c r="A87" s="2" t="s">
        <v>11</v>
      </c>
      <c r="B87" s="2" t="s">
        <v>26</v>
      </c>
      <c r="C87" s="2" t="s">
        <v>33</v>
      </c>
      <c r="D87" s="2" t="s">
        <v>22</v>
      </c>
      <c r="E87">
        <v>285</v>
      </c>
      <c r="F87">
        <f>LOG10(Table1[[#This Row],[count]])</f>
        <v>2.4548448600085102</v>
      </c>
    </row>
    <row r="88" spans="1:6" x14ac:dyDescent="0.35">
      <c r="A88" s="2" t="s">
        <v>12</v>
      </c>
      <c r="B88" s="2" t="s">
        <v>27</v>
      </c>
      <c r="C88" s="2" t="s">
        <v>33</v>
      </c>
      <c r="D88" s="2" t="s">
        <v>22</v>
      </c>
      <c r="E88">
        <v>221</v>
      </c>
      <c r="F88">
        <f>LOG10(Table1[[#This Row],[count]])</f>
        <v>2.3443922736851106</v>
      </c>
    </row>
    <row r="89" spans="1:6" x14ac:dyDescent="0.35">
      <c r="A89" s="2" t="s">
        <v>5</v>
      </c>
      <c r="B89" t="s">
        <v>5</v>
      </c>
      <c r="C89" s="2" t="s">
        <v>33</v>
      </c>
      <c r="D89" s="2" t="s">
        <v>22</v>
      </c>
      <c r="E89">
        <v>263</v>
      </c>
      <c r="F89">
        <f>LOG10(Table1[[#This Row],[count]])</f>
        <v>2.419955748489758</v>
      </c>
    </row>
    <row r="90" spans="1:6" x14ac:dyDescent="0.35">
      <c r="A90" s="2" t="s">
        <v>3</v>
      </c>
      <c r="B90" s="2" t="s">
        <v>3</v>
      </c>
      <c r="C90" s="2" t="s">
        <v>33</v>
      </c>
      <c r="D90" s="2" t="s">
        <v>22</v>
      </c>
      <c r="E90">
        <v>23</v>
      </c>
      <c r="F90">
        <f>LOG10(Table1[[#This Row],[count]])</f>
        <v>1.3617278360175928</v>
      </c>
    </row>
    <row r="91" spans="1:6" x14ac:dyDescent="0.35">
      <c r="A91" s="2" t="s">
        <v>19</v>
      </c>
      <c r="B91" s="2" t="s">
        <v>27</v>
      </c>
      <c r="C91" s="2" t="s">
        <v>33</v>
      </c>
      <c r="D91" s="2" t="s">
        <v>22</v>
      </c>
      <c r="E91">
        <v>16</v>
      </c>
      <c r="F91">
        <f>LOG10(Table1[[#This Row],[count]])</f>
        <v>1.2041199826559248</v>
      </c>
    </row>
    <row r="92" spans="1:6" x14ac:dyDescent="0.35">
      <c r="A92" s="2" t="s">
        <v>13</v>
      </c>
      <c r="B92" s="2" t="s">
        <v>25</v>
      </c>
      <c r="C92" s="2" t="s">
        <v>33</v>
      </c>
      <c r="D92" s="2" t="s">
        <v>22</v>
      </c>
      <c r="E92">
        <v>304</v>
      </c>
      <c r="F92">
        <f>LOG10(Table1[[#This Row],[count]])</f>
        <v>2.4828735836087539</v>
      </c>
    </row>
    <row r="93" spans="1:6" x14ac:dyDescent="0.35">
      <c r="A93" s="2" t="s">
        <v>14</v>
      </c>
      <c r="B93" s="2" t="s">
        <v>27</v>
      </c>
      <c r="C93" s="2" t="s">
        <v>33</v>
      </c>
      <c r="D93" s="2" t="s">
        <v>22</v>
      </c>
      <c r="E93">
        <v>178</v>
      </c>
      <c r="F93">
        <f>LOG10(Table1[[#This Row],[count]])</f>
        <v>2.2504200023088941</v>
      </c>
    </row>
    <row r="94" spans="1:6" x14ac:dyDescent="0.35">
      <c r="A94" s="2" t="s">
        <v>18</v>
      </c>
      <c r="B94" s="2" t="s">
        <v>25</v>
      </c>
      <c r="C94" s="2" t="s">
        <v>33</v>
      </c>
      <c r="D94" s="2" t="s">
        <v>22</v>
      </c>
      <c r="E94">
        <v>204</v>
      </c>
      <c r="F94">
        <f>LOG10(Table1[[#This Row],[count]])</f>
        <v>2.3096301674258988</v>
      </c>
    </row>
    <row r="95" spans="1:6" x14ac:dyDescent="0.35">
      <c r="A95" s="2" t="s">
        <v>15</v>
      </c>
      <c r="B95" s="2" t="s">
        <v>28</v>
      </c>
      <c r="C95" s="2" t="s">
        <v>33</v>
      </c>
      <c r="D95" s="2" t="s">
        <v>22</v>
      </c>
      <c r="E95">
        <v>325</v>
      </c>
      <c r="F95">
        <f>LOG10(Table1[[#This Row],[count]])</f>
        <v>2.5118833609788744</v>
      </c>
    </row>
    <row r="96" spans="1:6" x14ac:dyDescent="0.35">
      <c r="A96" s="2" t="s">
        <v>16</v>
      </c>
      <c r="B96" s="2" t="s">
        <v>26</v>
      </c>
      <c r="C96" s="2" t="s">
        <v>33</v>
      </c>
      <c r="D96" s="2" t="s">
        <v>22</v>
      </c>
      <c r="E96">
        <v>111941</v>
      </c>
      <c r="F96">
        <f>LOG10(Table1[[#This Row],[count]])</f>
        <v>5.0489891822610993</v>
      </c>
    </row>
    <row r="97" spans="1:6" x14ac:dyDescent="0.35">
      <c r="A97" s="2" t="s">
        <v>17</v>
      </c>
      <c r="B97" s="2" t="s">
        <v>26</v>
      </c>
      <c r="C97" s="2" t="s">
        <v>33</v>
      </c>
      <c r="D97" s="2" t="s">
        <v>22</v>
      </c>
      <c r="E97">
        <v>140621</v>
      </c>
      <c r="F97">
        <f>LOG10(Table1[[#This Row],[count]])</f>
        <v>5.1480501820144804</v>
      </c>
    </row>
    <row r="98" spans="1:6" x14ac:dyDescent="0.35">
      <c r="A98" s="2" t="s">
        <v>8</v>
      </c>
      <c r="B98" s="2" t="s">
        <v>24</v>
      </c>
      <c r="C98" s="2" t="s">
        <v>33</v>
      </c>
      <c r="D98" s="2" t="s">
        <v>21</v>
      </c>
      <c r="E98">
        <v>112</v>
      </c>
      <c r="F98">
        <f>LOG10(Table1[[#This Row],[count]])</f>
        <v>2.0492180226701815</v>
      </c>
    </row>
    <row r="99" spans="1:6" x14ac:dyDescent="0.35">
      <c r="A99" s="2" t="s">
        <v>4</v>
      </c>
      <c r="B99" s="2" t="s">
        <v>24</v>
      </c>
      <c r="C99" s="2" t="s">
        <v>33</v>
      </c>
      <c r="D99" s="2" t="s">
        <v>21</v>
      </c>
      <c r="E99">
        <v>174113</v>
      </c>
      <c r="F99">
        <f>LOG10(Table1[[#This Row],[count]])</f>
        <v>5.2408311985583937</v>
      </c>
    </row>
    <row r="100" spans="1:6" x14ac:dyDescent="0.35">
      <c r="A100" s="2" t="s">
        <v>10</v>
      </c>
      <c r="B100" s="2" t="s">
        <v>28</v>
      </c>
      <c r="C100" s="2" t="s">
        <v>33</v>
      </c>
      <c r="D100" s="2" t="s">
        <v>21</v>
      </c>
      <c r="E100">
        <v>175</v>
      </c>
      <c r="F100">
        <f>LOG10(Table1[[#This Row],[count]])</f>
        <v>2.2430380486862944</v>
      </c>
    </row>
    <row r="101" spans="1:6" x14ac:dyDescent="0.35">
      <c r="A101" s="2" t="s">
        <v>11</v>
      </c>
      <c r="B101" s="2" t="s">
        <v>26</v>
      </c>
      <c r="C101" s="2" t="s">
        <v>33</v>
      </c>
      <c r="D101" s="2" t="s">
        <v>21</v>
      </c>
      <c r="E101">
        <v>187</v>
      </c>
      <c r="F101">
        <f>LOG10(Table1[[#This Row],[count]])</f>
        <v>2.271841606536499</v>
      </c>
    </row>
    <row r="102" spans="1:6" x14ac:dyDescent="0.35">
      <c r="A102" s="2" t="s">
        <v>12</v>
      </c>
      <c r="B102" s="2" t="s">
        <v>27</v>
      </c>
      <c r="C102" s="2" t="s">
        <v>33</v>
      </c>
      <c r="D102" s="2" t="s">
        <v>21</v>
      </c>
      <c r="E102">
        <v>293</v>
      </c>
      <c r="F102">
        <f>LOG10(Table1[[#This Row],[count]])</f>
        <v>2.4668676203541096</v>
      </c>
    </row>
    <row r="103" spans="1:6" x14ac:dyDescent="0.35">
      <c r="A103" s="2" t="s">
        <v>5</v>
      </c>
      <c r="B103" t="s">
        <v>5</v>
      </c>
      <c r="C103" s="2" t="s">
        <v>33</v>
      </c>
      <c r="D103" s="2" t="s">
        <v>21</v>
      </c>
      <c r="E103">
        <v>159</v>
      </c>
      <c r="F103">
        <f>LOG10(Table1[[#This Row],[count]])</f>
        <v>2.2013971243204513</v>
      </c>
    </row>
    <row r="104" spans="1:6" x14ac:dyDescent="0.35">
      <c r="A104" s="2" t="s">
        <v>3</v>
      </c>
      <c r="B104" s="2" t="s">
        <v>3</v>
      </c>
      <c r="C104" s="2" t="s">
        <v>33</v>
      </c>
      <c r="D104" s="2" t="s">
        <v>21</v>
      </c>
      <c r="E104">
        <v>25</v>
      </c>
      <c r="F104">
        <f>LOG10(Table1[[#This Row],[count]])</f>
        <v>1.3979400086720377</v>
      </c>
    </row>
    <row r="105" spans="1:6" x14ac:dyDescent="0.35">
      <c r="A105" s="2" t="s">
        <v>19</v>
      </c>
      <c r="B105" s="2" t="s">
        <v>27</v>
      </c>
      <c r="C105" s="2" t="s">
        <v>33</v>
      </c>
      <c r="D105" s="2" t="s">
        <v>21</v>
      </c>
      <c r="E105">
        <v>10</v>
      </c>
      <c r="F105">
        <f>LOG10(Table1[[#This Row],[count]])</f>
        <v>1</v>
      </c>
    </row>
    <row r="106" spans="1:6" x14ac:dyDescent="0.35">
      <c r="A106" s="2" t="s">
        <v>13</v>
      </c>
      <c r="B106" s="2" t="s">
        <v>25</v>
      </c>
      <c r="C106" s="2" t="s">
        <v>33</v>
      </c>
      <c r="D106" s="2" t="s">
        <v>21</v>
      </c>
      <c r="E106">
        <v>128</v>
      </c>
      <c r="F106">
        <f>LOG10(Table1[[#This Row],[count]])</f>
        <v>2.1072099696478683</v>
      </c>
    </row>
    <row r="107" spans="1:6" x14ac:dyDescent="0.35">
      <c r="A107" s="2" t="s">
        <v>14</v>
      </c>
      <c r="B107" s="2" t="s">
        <v>27</v>
      </c>
      <c r="C107" s="2" t="s">
        <v>33</v>
      </c>
      <c r="D107" s="2" t="s">
        <v>21</v>
      </c>
      <c r="E107">
        <v>70</v>
      </c>
      <c r="F107">
        <f>LOG10(Table1[[#This Row],[count]])</f>
        <v>1.8450980400142569</v>
      </c>
    </row>
    <row r="108" spans="1:6" x14ac:dyDescent="0.35">
      <c r="A108" s="2" t="s">
        <v>18</v>
      </c>
      <c r="B108" s="2" t="s">
        <v>25</v>
      </c>
      <c r="C108" s="2" t="s">
        <v>33</v>
      </c>
      <c r="D108" s="2" t="s">
        <v>21</v>
      </c>
      <c r="E108">
        <v>37</v>
      </c>
      <c r="F108">
        <f>LOG10(Table1[[#This Row],[count]])</f>
        <v>1.568201724066995</v>
      </c>
    </row>
    <row r="109" spans="1:6" x14ac:dyDescent="0.35">
      <c r="A109" s="2" t="s">
        <v>15</v>
      </c>
      <c r="B109" s="2" t="s">
        <v>28</v>
      </c>
      <c r="C109" s="2" t="s">
        <v>33</v>
      </c>
      <c r="D109" s="2" t="s">
        <v>21</v>
      </c>
      <c r="E109">
        <v>126</v>
      </c>
      <c r="F109">
        <f>LOG10(Table1[[#This Row],[count]])</f>
        <v>2.1003705451175629</v>
      </c>
    </row>
    <row r="110" spans="1:6" x14ac:dyDescent="0.35">
      <c r="A110" s="2" t="s">
        <v>16</v>
      </c>
      <c r="B110" s="2" t="s">
        <v>26</v>
      </c>
      <c r="C110" s="2" t="s">
        <v>33</v>
      </c>
      <c r="D110" s="2" t="s">
        <v>21</v>
      </c>
      <c r="E110">
        <v>42263</v>
      </c>
      <c r="F110">
        <f>LOG10(Table1[[#This Row],[count]])</f>
        <v>4.625960321802963</v>
      </c>
    </row>
    <row r="111" spans="1:6" x14ac:dyDescent="0.35">
      <c r="A111" s="2" t="s">
        <v>17</v>
      </c>
      <c r="B111" s="2" t="s">
        <v>26</v>
      </c>
      <c r="C111" s="2" t="s">
        <v>33</v>
      </c>
      <c r="D111" s="2" t="s">
        <v>21</v>
      </c>
      <c r="E111">
        <v>50994</v>
      </c>
      <c r="F111">
        <f>LOG10(Table1[[#This Row],[count]])</f>
        <v>4.7075190796237436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2025-08-22T17:47:17Z</dcterms:created>
  <dcterms:modified xsi:type="dcterms:W3CDTF">2026-05-22T18:00:11Z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2025-08-22T17:52:10Z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32006b6a-27c8-432d-926a-e6f2b6a37898</vt:lpwstr>
  </property>
  <property fmtid="{D5CDD505-2E9C-101B-9397-08002B2CF9AE}" pid="8" name="MSIP_Label_7b94a7b8-f06c-4dfe-bdcc-9b548fd58c31_ContentBits">
    <vt:lpwstr>0</vt:lpwstr>
  </property>
  <property fmtid="{D5CDD505-2E9C-101B-9397-08002B2CF9AE}" pid="9" name="MSIP_Label_7b94a7b8-f06c-4dfe-bdcc-9b548fd58c31_Tag">
    <vt:lpwstr>10, 0, 1, 1</vt:lpwstr>
  </property>
</Properties>
</file>