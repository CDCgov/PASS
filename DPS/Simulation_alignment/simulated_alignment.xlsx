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cdc-my.sharepoint.com/personal/tif8_cdc_gov/Documents/Documents/Projects/bioinfo/final data/"/>
    </mc:Choice>
  </mc:AlternateContent>
  <xr:revisionPtr revIDLastSave="21" documentId="8_{D4BC3BC7-82EF-416A-BE8F-76083E24D3BB}" xr6:coauthVersionLast="47" xr6:coauthVersionMax="47" xr10:uidLastSave="{B042C8EA-AD73-4CE8-8007-AE3570A52656}"/>
  <bookViews>
    <workbookView xWindow="-110" yWindow="-110" windowWidth="19420" windowHeight="10300" tabRatio="599" xr2:uid="{5BD64B4F-E142-49D7-8542-6465F4BA7FA4}"/>
  </bookViews>
  <sheets>
    <sheet name="10x" sheetId="12" r:id="rId1"/>
    <sheet name="Scripts" sheetId="1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F5" i="12" l="1"/>
  <c r="BF6" i="12"/>
  <c r="BF7" i="12"/>
  <c r="BF4" i="12"/>
  <c r="BE12" i="12" l="1"/>
  <c r="BE10" i="12"/>
  <c r="BF10" i="12" s="1"/>
  <c r="BE9" i="12"/>
  <c r="BD12" i="12"/>
  <c r="BD11" i="12"/>
  <c r="BF11" i="12" s="1"/>
  <c r="BC9" i="12"/>
  <c r="BF9" i="12" s="1"/>
  <c r="V10" i="12"/>
  <c r="V9" i="12"/>
  <c r="V5" i="12"/>
  <c r="V4" i="12"/>
  <c r="AT10" i="12"/>
  <c r="AT9" i="12"/>
  <c r="AT5" i="12"/>
  <c r="AT4" i="12"/>
  <c r="AG10" i="12"/>
  <c r="AG9" i="12"/>
  <c r="AG5" i="12"/>
  <c r="AG4" i="12"/>
  <c r="K10" i="12"/>
  <c r="K9" i="12"/>
  <c r="K5" i="12"/>
  <c r="K4" i="12"/>
  <c r="BF12" i="12" l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4705803-0188-427E-94C5-2ADF4C6083BE}" keepAlive="1" name="Query - blastsim17" description="Connection to the 'blastsim17' query in the workbook." type="5" refreshedVersion="0" background="1" saveData="1">
    <dbPr connection="Provider=Microsoft.Mashup.OleDb.1;Data Source=$Workbook$;Location=blastsim17;Extended Properties=&quot;&quot;" command="SELECT * FROM [blastsim17]"/>
  </connection>
  <connection id="2" xr16:uid="{86C90F2C-367D-4586-B144-0D0F72112124}" keepAlive="1" name="Query - blastsim18" description="Connection to the 'blastsim18' query in the workbook." type="5" refreshedVersion="0" background="1" saveData="1">
    <dbPr connection="Provider=Microsoft.Mashup.OleDb.1;Data Source=$Workbook$;Location=blastsim18;Extended Properties=&quot;&quot;" command="SELECT * FROM [blastsim18]"/>
  </connection>
  <connection id="3" xr16:uid="{6076A4DB-3434-4ADF-BC20-2EA15333C368}" keepAlive="1" name="Query - blastsim6" description="Connection to the 'blastsim6' query in the workbook." type="5" refreshedVersion="0" background="1" saveData="1">
    <dbPr connection="Provider=Microsoft.Mashup.OleDb.1;Data Source=$Workbook$;Location=blastsim6;Extended Properties=&quot;&quot;" command="SELECT * FROM [blastsim6]"/>
  </connection>
  <connection id="4" xr16:uid="{944194D7-62DA-4CD5-93CC-C18725EA8E75}" keepAlive="1" name="Query - bowtie2sim15" description="Connection to the 'bowtie2sim15' query in the workbook." type="5" refreshedVersion="0" background="1" saveData="1">
    <dbPr connection="Provider=Microsoft.Mashup.OleDb.1;Data Source=$Workbook$;Location=bowtie2sim15;Extended Properties=&quot;&quot;" command="SELECT * FROM [bowtie2sim15]"/>
  </connection>
  <connection id="5" xr16:uid="{DAAEF392-CABC-4A7B-AF46-36C7F967EEB3}" keepAlive="1" name="Query - bowtie2sim15 (2)" description="Connection to the 'bowtie2sim15 (2)' query in the workbook." type="5" refreshedVersion="0" background="1" saveData="1">
    <dbPr connection="Provider=Microsoft.Mashup.OleDb.1;Data Source=$Workbook$;Location=&quot;bowtie2sim15 (2)&quot;;Extended Properties=&quot;&quot;" command="SELECT * FROM [bowtie2sim15 (2)]"/>
  </connection>
  <connection id="6" xr16:uid="{77BFE665-DD90-4CDE-8978-C907D8DAECA0}" keepAlive="1" name="Query - bowtie2sim16" description="Connection to the 'bowtie2sim16' query in the workbook." type="5" refreshedVersion="0" background="1" saveData="1">
    <dbPr connection="Provider=Microsoft.Mashup.OleDb.1;Data Source=$Workbook$;Location=bowtie2sim16;Extended Properties=&quot;&quot;" command="SELECT * FROM [bowtie2sim16]"/>
  </connection>
  <connection id="7" xr16:uid="{17C708E4-99C8-4D90-B7D5-59CA76D70CAC}" keepAlive="1" name="Query - bowtie2sim17" description="Connection to the 'bowtie2sim17' query in the workbook." type="5" refreshedVersion="0" background="1" saveData="1">
    <dbPr connection="Provider=Microsoft.Mashup.OleDb.1;Data Source=$Workbook$;Location=bowtie2sim17;Extended Properties=&quot;&quot;" command="SELECT * FROM [bowtie2sim17]"/>
  </connection>
  <connection id="8" xr16:uid="{6B8D38CE-8455-4FA5-81E0-8F9FF1AF7F06}" keepAlive="1" name="Query - bowtie2sim18" description="Connection to the 'bowtie2sim18' query in the workbook." type="5" refreshedVersion="0" background="1" saveData="1">
    <dbPr connection="Provider=Microsoft.Mashup.OleDb.1;Data Source=$Workbook$;Location=bowtie2sim18;Extended Properties=&quot;&quot;" command="SELECT * FROM [bowtie2sim18]"/>
  </connection>
  <connection id="9" xr16:uid="{BAEB30F5-EC62-4D83-9070-8F3CC69F83BD}" keepAlive="1" name="Query - bowtie2sim19" description="Connection to the 'bowtie2sim19' query in the workbook." type="5" refreshedVersion="0" background="1" saveData="1">
    <dbPr connection="Provider=Microsoft.Mashup.OleDb.1;Data Source=$Workbook$;Location=bowtie2sim19;Extended Properties=&quot;&quot;" command="SELECT * FROM [bowtie2sim19]"/>
  </connection>
  <connection id="10" xr16:uid="{F7AE00E8-4F96-40DA-BF04-CF9273541A93}" keepAlive="1" name="Query - bowtie2sim20" description="Connection to the 'bowtie2sim20' query in the workbook." type="5" refreshedVersion="7" background="1" saveData="1">
    <dbPr connection="Provider=Microsoft.Mashup.OleDb.1;Data Source=$Workbook$;Location=bowtie2sim20;Extended Properties=&quot;&quot;" command="SELECT * FROM [bowtie2sim20]"/>
  </connection>
  <connection id="11" xr16:uid="{1E1ACEE1-3594-4C3A-B14F-8B3B476D77C5}" keepAlive="1" name="Query - bowtie2sim3" description="Connection to the 'bowtie2sim3' query in the workbook." type="5" refreshedVersion="7" background="1" saveData="1">
    <dbPr connection="Provider=Microsoft.Mashup.OleDb.1;Data Source=$Workbook$;Location=bowtie2sim3;Extended Properties=&quot;&quot;" command="SELECT * FROM [bowtie2sim3]"/>
  </connection>
  <connection id="12" xr16:uid="{52E47E5D-39F3-48C6-BF47-304B9F1E5BB7}" keepAlive="1" name="Query - bowtie2sim3 (2)" description="Connection to the 'bowtie2sim3 (2)' query in the workbook." type="5" refreshedVersion="7" background="1" saveData="1">
    <dbPr connection="Provider=Microsoft.Mashup.OleDb.1;Data Source=$Workbook$;Location=&quot;bowtie2sim3 (2)&quot;;Extended Properties=&quot;&quot;" command="SELECT * FROM [bowtie2sim3 (2)]"/>
  </connection>
  <connection id="13" xr16:uid="{7F075FCE-4060-479D-B3CC-76F6BF0E07B8}" keepAlive="1" name="Query - bowtie2sim4" description="Connection to the 'bowtie2sim4' query in the workbook." type="5" refreshedVersion="0" background="1" saveData="1">
    <dbPr connection="Provider=Microsoft.Mashup.OleDb.1;Data Source=$Workbook$;Location=bowtie2sim4;Extended Properties=&quot;&quot;" command="SELECT * FROM [bowtie2sim4]"/>
  </connection>
  <connection id="14" xr16:uid="{2D4E1DBF-CF16-45BC-96AA-E587283B721D}" keepAlive="1" name="Query - bowtie2sim4 (2)" description="Connection to the 'bowtie2sim4 (2)' query in the workbook." type="5" refreshedVersion="0" background="1" saveData="1">
    <dbPr connection="Provider=Microsoft.Mashup.OleDb.1;Data Source=$Workbook$;Location=&quot;bowtie2sim4 (2)&quot;;Extended Properties=&quot;&quot;" command="SELECT * FROM [bowtie2sim4 (2)]"/>
  </connection>
  <connection id="15" xr16:uid="{E3CFFA2A-B4E5-44FF-91ED-8DFD441AA562}" keepAlive="1" name="Query - bowtie2sim4 (3)" description="Connection to the 'bowtie2sim4 (3)' query in the workbook." type="5" refreshedVersion="0" background="1" saveData="1">
    <dbPr connection="Provider=Microsoft.Mashup.OleDb.1;Data Source=$Workbook$;Location=&quot;bowtie2sim4 (3)&quot;;Extended Properties=&quot;&quot;" command="SELECT * FROM [bowtie2sim4 (3)]"/>
  </connection>
  <connection id="16" xr16:uid="{484C6C2F-98CE-4674-8CDA-CC1FEA900130}" keepAlive="1" name="Query - bowtie2sim5" description="Connection to the 'bowtie2sim5' query in the workbook." type="5" refreshedVersion="0" background="1" saveData="1">
    <dbPr connection="Provider=Microsoft.Mashup.OleDb.1;Data Source=$Workbook$;Location=bowtie2sim5;Extended Properties=&quot;&quot;" command="SELECT * FROM [bowtie2sim5]"/>
  </connection>
  <connection id="17" xr16:uid="{8AD2FF46-C229-4753-A959-7257053AA6A1}" keepAlive="1" name="Query - bowtie2sim5 (2)" description="Connection to the 'bowtie2sim5 (2)' query in the workbook." type="5" refreshedVersion="0" background="1" saveData="1">
    <dbPr connection="Provider=Microsoft.Mashup.OleDb.1;Data Source=$Workbook$;Location=&quot;bowtie2sim5 (2)&quot;;Extended Properties=&quot;&quot;" command="SELECT * FROM [bowtie2sim5 (2)]"/>
  </connection>
  <connection id="18" xr16:uid="{85BC9EC2-3D12-46C2-8E22-F0BEC9472902}" keepAlive="1" name="Query - filesizemagic8" description="Connection to the 'filesizemagic8' query in the workbook." type="5" refreshedVersion="7" background="1" saveData="1">
    <dbPr connection="Provider=Microsoft.Mashup.OleDb.1;Data Source=$Workbook$;Location=filesizemagic8;Extended Properties=&quot;&quot;" command="SELECT * FROM [filesizemagic8]"/>
  </connection>
  <connection id="19" xr16:uid="{2D44F641-8F3F-4A38-8970-6A22E8EA320F}" keepAlive="1" name="Query - filesizemagic9" description="Connection to the 'filesizemagic9' query in the workbook." type="5" refreshedVersion="7" background="1" saveData="1">
    <dbPr connection="Provider=Microsoft.Mashup.OleDb.1;Data Source=$Workbook$;Location=filesizemagic9;Extended Properties=&quot;&quot;" command="SELECT * FROM [filesizemagic9]"/>
  </connection>
  <connection id="20" xr16:uid="{EDD5305F-6822-4CA3-9A5F-CE360577764C}" keepAlive="1" name="Query - magicsim15" description="Connection to the 'magicsim15' query in the workbook." type="5" refreshedVersion="0" background="1" saveData="1">
    <dbPr connection="Provider=Microsoft.Mashup.OleDb.1;Data Source=$Workbook$;Location=magicsim15;Extended Properties=&quot;&quot;" command="SELECT * FROM [magicsim15]"/>
  </connection>
  <connection id="21" xr16:uid="{B9397EBE-37DB-49B8-BDE6-610A5E995698}" keepAlive="1" name="Query - magicsim16" description="Connection to the 'magicsim16' query in the workbook." type="5" refreshedVersion="0" background="1" saveData="1">
    <dbPr connection="Provider=Microsoft.Mashup.OleDb.1;Data Source=$Workbook$;Location=magicsim16;Extended Properties=&quot;&quot;" command="SELECT * FROM [magicsim16]"/>
  </connection>
  <connection id="22" xr16:uid="{2FF4B86B-E5E1-4C20-86E3-C2A9B1390B0F}" keepAlive="1" name="Query - magicsim17" description="Connection to the 'magicsim17' query in the workbook." type="5" refreshedVersion="0" background="1" saveData="1">
    <dbPr connection="Provider=Microsoft.Mashup.OleDb.1;Data Source=$Workbook$;Location=magicsim17;Extended Properties=&quot;&quot;" command="SELECT * FROM [magicsim17]"/>
  </connection>
  <connection id="23" xr16:uid="{CBC2BC99-9C9D-44F4-8CFE-596470CC87DE}" keepAlive="1" name="Query - magicsim18" description="Connection to the 'magicsim18' query in the workbook." type="5" refreshedVersion="0" background="1" saveData="1">
    <dbPr connection="Provider=Microsoft.Mashup.OleDb.1;Data Source=$Workbook$;Location=magicsim18;Extended Properties=&quot;&quot;" command="SELECT * FROM [magicsim18]"/>
  </connection>
  <connection id="24" xr16:uid="{A59B9825-BFED-4013-B546-4E1A82A89F62}" keepAlive="1" name="Query - magicsim19" description="Connection to the 'magicsim19' query in the workbook." type="5" refreshedVersion="0" background="1" saveData="1">
    <dbPr connection="Provider=Microsoft.Mashup.OleDb.1;Data Source=$Workbook$;Location=magicsim19;Extended Properties=&quot;&quot;" command="SELECT * FROM [magicsim19]"/>
  </connection>
  <connection id="25" xr16:uid="{BE2256C0-CF33-4B30-ACB1-D9FCCB4CDB5D}" keepAlive="1" name="Query - magicsim20" description="Connection to the 'magicsim20' query in the workbook." type="5" refreshedVersion="0" background="1" saveData="1">
    <dbPr connection="Provider=Microsoft.Mashup.OleDb.1;Data Source=$Workbook$;Location=magicsim20;Extended Properties=&quot;&quot;" command="SELECT * FROM [magicsim20]"/>
  </connection>
  <connection id="26" xr16:uid="{00959208-5B91-4746-AD86-4E3D68A6341E}" keepAlive="1" name="Query - magicsim6" description="Connection to the 'magicsim6' query in the workbook." type="5" refreshedVersion="0" background="1" saveData="1">
    <dbPr connection="Provider=Microsoft.Mashup.OleDb.1;Data Source=$Workbook$;Location=magicsim6;Extended Properties=&quot;&quot;" command="SELECT * FROM [magicsim6]"/>
  </connection>
  <connection id="27" xr16:uid="{30B6E68E-F143-4DEA-88BA-544A8435C5E6}" keepAlive="1" name="Query - magicsim7" description="Connection to the 'magicsim7' query in the workbook." type="5" refreshedVersion="0" background="1" saveData="1">
    <dbPr connection="Provider=Microsoft.Mashup.OleDb.1;Data Source=$Workbook$;Location=magicsim7;Extended Properties=&quot;&quot;" command="SELECT * FROM [magicsim7]"/>
  </connection>
  <connection id="28" xr16:uid="{38C94840-B7F9-49F3-96B9-3C9E766CD1B5}" keepAlive="1" name="Query - magicsim8" description="Connection to the 'magicsim8' query in the workbook." type="5" refreshedVersion="0" background="1" saveData="1">
    <dbPr connection="Provider=Microsoft.Mashup.OleDb.1;Data Source=$Workbook$;Location=magicsim8;Extended Properties=&quot;&quot;" command="SELECT * FROM [magicsim8]"/>
  </connection>
  <connection id="29" xr16:uid="{4488B2C3-6D1F-4706-8898-9C5618041FF1}" keepAlive="1" name="Query - magicsim9" description="Connection to the 'magicsim9' query in the workbook." type="5" refreshedVersion="0" background="1" saveData="1">
    <dbPr connection="Provider=Microsoft.Mashup.OleDb.1;Data Source=$Workbook$;Location=magicsim9;Extended Properties=&quot;&quot;" command="SELECT * FROM [magicsim9]"/>
  </connection>
  <connection id="30" xr16:uid="{C6DF959E-DD70-400C-837A-D08295F55F04}" keepAlive="1" name="Query - megasim17" description="Connection to the 'megasim17' query in the workbook." type="5" refreshedVersion="0" background="1" saveData="1">
    <dbPr connection="Provider=Microsoft.Mashup.OleDb.1;Data Source=$Workbook$;Location=megasim17;Extended Properties=&quot;&quot;" command="SELECT * FROM [megasim17]"/>
  </connection>
  <connection id="31" xr16:uid="{19ED9941-425C-4613-9149-77563E792DF3}" keepAlive="1" name="Query - megasim18" description="Connection to the 'megasim18' query in the workbook." type="5" refreshedVersion="0" background="1" saveData="1">
    <dbPr connection="Provider=Microsoft.Mashup.OleDb.1;Data Source=$Workbook$;Location=megasim18;Extended Properties=&quot;&quot;" command="SELECT * FROM [megasim18]"/>
  </connection>
  <connection id="32" xr16:uid="{0971CAEA-17B9-4600-A690-519444E4ADF0}" keepAlive="1" name="Query - megasim19" description="Connection to the 'megasim19' query in the workbook." type="5" refreshedVersion="0" background="1" saveData="1">
    <dbPr connection="Provider=Microsoft.Mashup.OleDb.1;Data Source=$Workbook$;Location=megasim19;Extended Properties=&quot;&quot;" command="SELECT * FROM [megasim19]"/>
  </connection>
  <connection id="33" xr16:uid="{81D64691-AC00-4A92-B46D-BE0760150EFA}" keepAlive="1" name="Query - megasim19 (2)" description="Connection to the 'megasim19 (2)' query in the workbook." type="5" refreshedVersion="0" background="1" saveData="1">
    <dbPr connection="Provider=Microsoft.Mashup.OleDb.1;Data Source=$Workbook$;Location=&quot;megasim19 (2)&quot;;Extended Properties=&quot;&quot;" command="SELECT * FROM [megasim19 (2)]"/>
  </connection>
  <connection id="34" xr16:uid="{0EFFF2CF-62C4-4964-AD04-2EE5CE7534C7}" keepAlive="1" name="Query - megasim20" description="Connection to the 'megasim20' query in the workbook." type="5" refreshedVersion="0" background="1" saveData="1">
    <dbPr connection="Provider=Microsoft.Mashup.OleDb.1;Data Source=$Workbook$;Location=megasim20;Extended Properties=&quot;&quot;" command="SELECT * FROM [megasim20]"/>
  </connection>
  <connection id="35" xr16:uid="{B6F1935D-CFD1-4F93-B867-689E5E7E5B2E}" keepAlive="1" name="Query - megasim20 (2)" description="Connection to the 'megasim20 (2)' query in the workbook." type="5" refreshedVersion="0" background="1" saveData="1">
    <dbPr connection="Provider=Microsoft.Mashup.OleDb.1;Data Source=$Workbook$;Location=&quot;megasim20 (2)&quot;;Extended Properties=&quot;&quot;" command="SELECT * FROM [megasim20 (2)]"/>
  </connection>
  <connection id="36" xr16:uid="{1F263865-9E2B-4A10-9FC6-D5A762996F2B}" keepAlive="1" name="Query - megasim21" description="Connection to the 'megasim21' query in the workbook." type="5" refreshedVersion="0" background="1" saveData="1">
    <dbPr connection="Provider=Microsoft.Mashup.OleDb.1;Data Source=$Workbook$;Location=megasim21;Extended Properties=&quot;&quot;" command="SELECT * FROM [megasim21]"/>
  </connection>
  <connection id="37" xr16:uid="{E0058C61-219F-4C45-8B7A-F12234445DFA}" keepAlive="1" name="Query - megasim22" description="Connection to the 'megasim22' query in the workbook." type="5" refreshedVersion="0" background="1" saveData="1">
    <dbPr connection="Provider=Microsoft.Mashup.OleDb.1;Data Source=$Workbook$;Location=megasim22;Extended Properties=&quot;&quot;" command="SELECT * FROM [megasim22]"/>
  </connection>
  <connection id="38" xr16:uid="{BF4F99F1-8E01-4A96-B579-153BCB1CFB42}" keepAlive="1" name="Query - runtime" description="Connection to the 'runtime' query in the workbook." type="5" refreshedVersion="0" background="1" saveData="1">
    <dbPr connection="Provider=Microsoft.Mashup.OleDb.1;Data Source=$Workbook$;Location=runtime;Extended Properties=&quot;&quot;" command="SELECT * FROM [runtime]"/>
  </connection>
</connections>
</file>

<file path=xl/sharedStrings.xml><?xml version="1.0" encoding="utf-8"?>
<sst xmlns="http://schemas.openxmlformats.org/spreadsheetml/2006/main" count="103" uniqueCount="71">
  <si>
    <t>mega</t>
  </si>
  <si>
    <t>magic</t>
  </si>
  <si>
    <t>tool</t>
  </si>
  <si>
    <t>Average</t>
  </si>
  <si>
    <t>score 20</t>
  </si>
  <si>
    <t>sabin100_10x</t>
  </si>
  <si>
    <t>sabin150_10x</t>
  </si>
  <si>
    <t>sabin200_10x</t>
  </si>
  <si>
    <t>sabin250_10x</t>
  </si>
  <si>
    <t>Total reads</t>
  </si>
  <si>
    <t>Polio reads</t>
  </si>
  <si>
    <t>Bowtie2 mapped reads</t>
  </si>
  <si>
    <t>Run time 1</t>
  </si>
  <si>
    <t>Run time2</t>
  </si>
  <si>
    <t>Bowtie</t>
  </si>
  <si>
    <t>magic mapped reads</t>
  </si>
  <si>
    <t>Magic</t>
  </si>
  <si>
    <t>Run time 3</t>
  </si>
  <si>
    <t>File size (GB)</t>
  </si>
  <si>
    <t>Average time</t>
  </si>
  <si>
    <t>mega mapped reads</t>
  </si>
  <si>
    <t>4 nodes on Aspen</t>
  </si>
  <si>
    <t>magicblast -query file.fq -db ~/references/blast/sabin/sabin -num_threads 10 -outfmt tabular -infmt fastq &gt; file.txt</t>
  </si>
  <si>
    <t>seqtk seq -A file.fq | blastn -task blastn -db ~/references/blast/sabin/sabin -num_threads 4 -num_alignments 1 -outfmt "6 qseqid sseqid pident qlen length mismatch gapopen qstart qend sstart send evalue bitscore qseq sseq" &gt;&gt; file.txt</t>
  </si>
  <si>
    <t>seqtk seq -A file.fq | blastn -db ~/references/blast/sabin/sabin -num_threads 4 -num_alignments 1 -outfmt "6 qseqid sseqid pident qlen length mismatch gapopen qstart qend sstart send evalue bitscore qseq sseq" &gt;&gt; file.txt</t>
  </si>
  <si>
    <t>bowtie2 -p 4 --sensitive-local -N 1 -t -x ~/references/sabin/sabin -q file.fq --un file_unaligned.fq --al file_aligned.fq -S file.sam  </t>
  </si>
  <si>
    <t>magic score 20 (Default)</t>
  </si>
  <si>
    <t>bowtie2</t>
  </si>
  <si>
    <t>magicblast -query file.fq -db ~/references/blast/sabin/sabin -num_threads 10 -outfmt tabular -infmt fastq -score 60 &gt; file.txt</t>
  </si>
  <si>
    <t>magic score 60</t>
  </si>
  <si>
    <t>module</t>
  </si>
  <si>
    <t>code</t>
  </si>
  <si>
    <t>ncbi-magicblast</t>
  </si>
  <si>
    <t>ncbi-blast+</t>
  </si>
  <si>
    <t>Finding uniq reads</t>
  </si>
  <si>
    <t>blast and mega</t>
  </si>
  <si>
    <t>bowtie</t>
  </si>
  <si>
    <t>located on the error output report after each run, only if -quiet option is not used in original code. Ex:</t>
  </si>
  <si>
    <t>Time loading reference: 00:00:00</t>
  </si>
  <si>
    <t>Time loading forward index: 00:00:00</t>
  </si>
  <si>
    <t>Time loading mirror index: 00:00:00</t>
  </si>
  <si>
    <t>Multiseed full-index search: 00:04:32</t>
  </si>
  <si>
    <t>46866151 reads; of these:</t>
  </si>
  <si>
    <t xml:space="preserve">  46866151 (100.00%) were unpaired; of these:</t>
  </si>
  <si>
    <t xml:space="preserve">    46863514 (99.99%) aligned 0 times</t>
  </si>
  <si>
    <t xml:space="preserve">    1681 (0.00%) aligned exactly 1 time</t>
  </si>
  <si>
    <t xml:space="preserve">    956 (0.00%) aligned &gt;1 times</t>
  </si>
  <si>
    <t>0.01% overall alignment rate</t>
  </si>
  <si>
    <t>Time searching: 00:04:32</t>
  </si>
  <si>
    <t>Overall time: 00:04:32</t>
  </si>
  <si>
    <t>refseq_wopolio100(10x)</t>
  </si>
  <si>
    <t>ART simulated read files</t>
  </si>
  <si>
    <t>refseq_wopolio150(10x)</t>
  </si>
  <si>
    <t>refseq_wopolio200(10x)</t>
  </si>
  <si>
    <t>refseq_wopolio250(10x)</t>
  </si>
  <si>
    <t>unique reads (multiple alignments = 1)</t>
  </si>
  <si>
    <t>uniq reads (multiple alignments = 0)</t>
  </si>
  <si>
    <t xml:space="preserve">sort -k 14 file.txt | awk ' {print $1, $14} '| uniq -c -f1 &gt;&gt; file_uniq.txt </t>
  </si>
  <si>
    <t>awk ' $3 &gt; 0 ' file.txt &gt;&gt; filed_mapped.txt file_mapped.txt &gt;&gt; file_uniq.txt</t>
  </si>
  <si>
    <t>uniq -c gives a count of how many times the read was aligned, total of uniq -c output = reads that were aligned at least one time with mutliple alignments counting as 1</t>
  </si>
  <si>
    <t>Alignment File size (GB)</t>
  </si>
  <si>
    <t>MiSeq v3 used for all</t>
  </si>
  <si>
    <t>ElasticBLAST</t>
  </si>
  <si>
    <t>Elasticblast mapped reads</t>
  </si>
  <si>
    <t>node -1</t>
  </si>
  <si>
    <t>runtime = min</t>
  </si>
  <si>
    <t>MegaBLAST</t>
  </si>
  <si>
    <t>Blastn</t>
  </si>
  <si>
    <t>blastn</t>
  </si>
  <si>
    <t>blastn mapped reads</t>
  </si>
  <si>
    <t xml:space="preserve">magic output column 18 lists the number of times the read was aligned, mapped reads=reads that aligned at least one time with multiple alignments counting &gt; 2.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</si>
</sst>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400]h:mm:ss\ AM/PM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b/>
      <sz val="11"/>
      <color rgb="FF000000"/>
      <name val="Calibri"/>
      <family val="2"/>
      <scheme val="minor"/>
    </font>
    <font>
      <b/>
      <sz val="11"/>
      <color rgb="FF000000"/>
      <name val="Calibri"/>
    </font>
    <font>
      <sz val="11"/>
      <color rgb="FF000000"/>
      <name val="Calibri"/>
    </font>
    <font>
      <b/>
      <sz val="14"/>
      <color rgb="FF000000"/>
      <name val="Calibri"/>
    </font>
    <font>
      <sz val="14"/>
      <color rgb="FF000000"/>
      <name val="Calibri"/>
    </font>
    <font>
      <sz val="8"/>
      <color rgb="FF000000"/>
      <name val="Open Sans"/>
      <family val="2"/>
    </font>
  </fonts>
  <fills count="7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E8AEC7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1" fillId="0" borderId="0" xfId="0" applyFont="1"/>
    <xf numFmtId="0" fontId="0" fillId="0" borderId="0" xfId="0" applyProtection="1">
      <protection locked="0"/>
    </xf>
    <xf numFmtId="0" fontId="0" fillId="3" borderId="0" xfId="0" applyFill="1" applyAlignment="1">
      <alignment horizontal="center"/>
    </xf>
    <xf numFmtId="2" fontId="0" fillId="0" borderId="0" xfId="0" applyNumberFormat="1" applyAlignment="1">
      <alignment horizontal="center"/>
    </xf>
    <xf numFmtId="0" fontId="0" fillId="0" borderId="0" xfId="0" applyAlignment="1">
      <alignment horizontal="center" wrapText="1"/>
    </xf>
    <xf numFmtId="164" fontId="0" fillId="0" borderId="0" xfId="0" applyNumberFormat="1"/>
    <xf numFmtId="164" fontId="9" fillId="0" borderId="0" xfId="0" applyNumberFormat="1" applyFont="1"/>
    <xf numFmtId="0" fontId="3" fillId="0" borderId="0" xfId="0" applyFont="1"/>
    <xf numFmtId="0" fontId="0" fillId="3" borderId="0" xfId="0" applyFill="1" applyAlignment="1">
      <alignment horizontal="center"/>
    </xf>
    <xf numFmtId="0" fontId="0" fillId="2" borderId="0" xfId="0" applyFill="1" applyAlignment="1">
      <alignment horizontal="center"/>
    </xf>
    <xf numFmtId="0" fontId="0" fillId="4" borderId="0" xfId="0" applyFill="1" applyAlignment="1">
      <alignment horizontal="center"/>
    </xf>
    <xf numFmtId="0" fontId="0" fillId="5" borderId="0" xfId="0" applyFill="1" applyAlignment="1">
      <alignment horizontal="center"/>
    </xf>
    <xf numFmtId="0" fontId="0" fillId="6" borderId="0" xfId="0" applyFill="1" applyAlignment="1">
      <alignment horizontal="center"/>
    </xf>
    <xf numFmtId="0" fontId="0" fillId="0" borderId="0" xfId="0" applyFill="1" applyBorder="1"/>
    <xf numFmtId="0" fontId="1" fillId="0" borderId="0" xfId="0" applyFont="1" applyFill="1" applyBorder="1"/>
    <xf numFmtId="0" fontId="7" fillId="0" borderId="0" xfId="0" applyFont="1" applyFill="1" applyBorder="1" applyAlignment="1">
      <alignment horizontal="center" vertical="center" wrapText="1" readingOrder="1"/>
    </xf>
    <xf numFmtId="0" fontId="0" fillId="0" borderId="0" xfId="0" applyFill="1" applyBorder="1" applyAlignment="1">
      <alignment horizontal="center" vertical="center"/>
    </xf>
    <xf numFmtId="0" fontId="2" fillId="0" borderId="0" xfId="0" applyFont="1" applyFill="1" applyBorder="1" applyAlignment="1">
      <alignment horizontal="center" vertical="center" wrapText="1" readingOrder="1"/>
    </xf>
    <xf numFmtId="0" fontId="1" fillId="0" borderId="0" xfId="0" applyFont="1" applyFill="1" applyBorder="1" applyAlignment="1">
      <alignment horizontal="center" vertical="center"/>
    </xf>
    <xf numFmtId="2" fontId="1" fillId="0" borderId="0" xfId="0" applyNumberFormat="1" applyFont="1" applyFill="1" applyBorder="1" applyAlignment="1">
      <alignment horizontal="center" vertical="center"/>
    </xf>
    <xf numFmtId="0" fontId="8" fillId="0" borderId="0" xfId="0" applyFont="1" applyFill="1" applyBorder="1" applyAlignment="1">
      <alignment horizontal="center" vertical="center" wrapText="1" readingOrder="1"/>
    </xf>
    <xf numFmtId="0" fontId="3" fillId="0" borderId="0" xfId="0" applyFont="1" applyFill="1" applyBorder="1" applyAlignment="1">
      <alignment horizontal="center" vertical="center" wrapText="1" readingOrder="1"/>
    </xf>
    <xf numFmtId="3" fontId="3" fillId="0" borderId="0" xfId="0" applyNumberFormat="1" applyFont="1" applyFill="1" applyBorder="1" applyAlignment="1">
      <alignment horizontal="center" vertical="center" wrapText="1" readingOrder="1"/>
    </xf>
    <xf numFmtId="2" fontId="0" fillId="0" borderId="0" xfId="0" applyNumberFormat="1" applyFill="1" applyBorder="1" applyAlignment="1">
      <alignment horizontal="center" vertical="center"/>
    </xf>
    <xf numFmtId="3" fontId="0" fillId="0" borderId="0" xfId="0" applyNumberFormat="1" applyFill="1" applyBorder="1" applyAlignment="1">
      <alignment horizontal="center" vertical="center"/>
    </xf>
    <xf numFmtId="0" fontId="0" fillId="0" borderId="0" xfId="0" applyFill="1" applyBorder="1" applyAlignment="1">
      <alignment wrapText="1"/>
    </xf>
    <xf numFmtId="0" fontId="0" fillId="0" borderId="0" xfId="0" applyFill="1" applyBorder="1" applyAlignment="1">
      <alignment horizontal="center" wrapText="1"/>
    </xf>
    <xf numFmtId="0" fontId="0" fillId="0" borderId="0" xfId="0" applyFill="1" applyBorder="1" applyAlignment="1">
      <alignment horizontal="center"/>
    </xf>
    <xf numFmtId="0" fontId="4" fillId="0" borderId="0" xfId="0" applyFont="1" applyFill="1" applyBorder="1"/>
    <xf numFmtId="0" fontId="2" fillId="0" borderId="0" xfId="0" applyFont="1" applyFill="1" applyBorder="1" applyAlignment="1">
      <alignment horizontal="center" vertical="center" readingOrder="1"/>
    </xf>
    <xf numFmtId="0" fontId="5" fillId="0" borderId="0" xfId="0" applyFont="1" applyFill="1" applyBorder="1" applyAlignment="1">
      <alignment horizontal="center" vertical="center" wrapText="1" readingOrder="1"/>
    </xf>
    <xf numFmtId="0" fontId="6" fillId="0" borderId="0" xfId="0" applyFont="1" applyFill="1" applyBorder="1" applyAlignment="1">
      <alignment horizontal="center" vertical="center" wrapText="1" readingOrder="1"/>
    </xf>
    <xf numFmtId="0" fontId="0" fillId="0" borderId="0" xfId="0" applyFill="1" applyBorder="1" applyAlignment="1" applyProtection="1">
      <alignment horizontal="center" vertical="center"/>
      <protection locked="0"/>
    </xf>
    <xf numFmtId="0" fontId="0" fillId="0" borderId="0" xfId="0" applyFill="1"/>
    <xf numFmtId="0" fontId="1" fillId="0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E8AEC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F8DD0A-B6E8-472D-AE85-4E900A14D8DD}">
  <dimension ref="A1:BF63"/>
  <sheetViews>
    <sheetView tabSelected="1" zoomScale="70" zoomScaleNormal="70" workbookViewId="0">
      <pane xSplit="1" topLeftCell="B1" activePane="topRight" state="frozen"/>
      <selection pane="topRight" activeCell="E3" sqref="E3"/>
    </sheetView>
  </sheetViews>
  <sheetFormatPr defaultRowHeight="14.5" x14ac:dyDescent="0.35"/>
  <cols>
    <col min="1" max="1" width="24.08984375" customWidth="1"/>
    <col min="2" max="2" width="11.36328125" customWidth="1"/>
    <col min="3" max="3" width="10.7265625" customWidth="1"/>
    <col min="5" max="5" width="15.36328125" customWidth="1"/>
    <col min="6" max="6" width="9.7265625" customWidth="1"/>
    <col min="7" max="7" width="18.54296875" customWidth="1"/>
    <col min="8" max="8" width="13.81640625" customWidth="1"/>
    <col min="9" max="9" width="12.6328125" customWidth="1"/>
    <col min="10" max="10" width="13.1796875" customWidth="1"/>
    <col min="11" max="11" width="15.1796875" customWidth="1"/>
    <col min="12" max="12" width="13.08984375" customWidth="1"/>
    <col min="13" max="13" width="9.7265625" customWidth="1"/>
    <col min="14" max="14" width="10.90625" customWidth="1"/>
    <col min="15" max="15" width="14.36328125" customWidth="1"/>
    <col min="16" max="16" width="10.453125" customWidth="1"/>
    <col min="17" max="17" width="11.36328125" customWidth="1"/>
    <col min="18" max="18" width="8.26953125" customWidth="1"/>
    <col min="19" max="19" width="10" customWidth="1"/>
    <col min="20" max="21" width="8.81640625" customWidth="1"/>
    <col min="23" max="23" width="9.90625" customWidth="1"/>
    <col min="24" max="24" width="13" customWidth="1"/>
    <col min="25" max="25" width="12.08984375" customWidth="1"/>
    <col min="26" max="26" width="13.54296875" customWidth="1"/>
    <col min="27" max="27" width="11.36328125" customWidth="1"/>
    <col min="28" max="28" width="11.6328125" customWidth="1"/>
    <col min="29" max="29" width="20.08984375" customWidth="1"/>
    <col min="30" max="30" width="8.453125" customWidth="1"/>
    <col min="31" max="31" width="8.1796875" customWidth="1"/>
    <col min="37" max="37" width="23" customWidth="1"/>
    <col min="38" max="38" width="11.26953125" customWidth="1"/>
    <col min="39" max="40" width="10.6328125" customWidth="1"/>
    <col min="41" max="41" width="11.6328125" bestFit="1" customWidth="1"/>
    <col min="42" max="42" width="9.08984375" customWidth="1"/>
    <col min="51" max="51" width="12.08984375" customWidth="1"/>
    <col min="52" max="52" width="10.36328125" bestFit="1" customWidth="1"/>
  </cols>
  <sheetData>
    <row r="1" spans="1:58" x14ac:dyDescent="0.35">
      <c r="A1" t="s">
        <v>61</v>
      </c>
      <c r="AS1" t="s">
        <v>65</v>
      </c>
      <c r="AY1" t="s">
        <v>64</v>
      </c>
    </row>
    <row r="2" spans="1:58" x14ac:dyDescent="0.35">
      <c r="B2" s="2" t="s">
        <v>18</v>
      </c>
      <c r="E2" s="9" t="s">
        <v>14</v>
      </c>
      <c r="F2" s="9"/>
      <c r="G2" s="9"/>
      <c r="H2" s="9"/>
      <c r="I2" s="9"/>
      <c r="J2" s="9"/>
      <c r="K2" s="3"/>
      <c r="O2" s="10" t="s">
        <v>66</v>
      </c>
      <c r="P2" s="10"/>
      <c r="Q2" s="10"/>
      <c r="R2" s="10"/>
      <c r="S2" s="10"/>
      <c r="T2" s="10"/>
      <c r="U2" s="10"/>
      <c r="V2" s="10"/>
      <c r="Y2" s="1" t="s">
        <v>4</v>
      </c>
      <c r="Z2" s="11" t="s">
        <v>16</v>
      </c>
      <c r="AA2" s="11"/>
      <c r="AB2" s="11"/>
      <c r="AC2" s="11"/>
      <c r="AD2" s="11"/>
      <c r="AE2" s="11"/>
      <c r="AF2" s="11"/>
      <c r="AG2" s="11"/>
      <c r="AM2" s="12" t="s">
        <v>67</v>
      </c>
      <c r="AN2" s="12"/>
      <c r="AO2" s="12"/>
      <c r="AP2" s="12"/>
      <c r="AQ2" s="12"/>
      <c r="AR2" s="12"/>
      <c r="AS2" s="12"/>
      <c r="AT2" s="12"/>
      <c r="AY2" s="13" t="s">
        <v>62</v>
      </c>
      <c r="AZ2" s="13"/>
      <c r="BA2" s="13"/>
      <c r="BB2" s="13"/>
      <c r="BC2" s="13"/>
      <c r="BD2" s="13"/>
      <c r="BE2" s="13"/>
      <c r="BF2" s="13"/>
    </row>
    <row r="3" spans="1:58" x14ac:dyDescent="0.35">
      <c r="A3" t="s">
        <v>51</v>
      </c>
      <c r="C3" t="s">
        <v>9</v>
      </c>
      <c r="D3" t="s">
        <v>10</v>
      </c>
      <c r="E3" t="s">
        <v>11</v>
      </c>
      <c r="F3" t="s">
        <v>55</v>
      </c>
      <c r="G3" t="s">
        <v>60</v>
      </c>
      <c r="H3" t="s">
        <v>12</v>
      </c>
      <c r="I3" t="s">
        <v>13</v>
      </c>
      <c r="J3" t="s">
        <v>17</v>
      </c>
      <c r="K3" t="s">
        <v>19</v>
      </c>
      <c r="M3" t="s">
        <v>9</v>
      </c>
      <c r="N3" t="s">
        <v>10</v>
      </c>
      <c r="O3" t="s">
        <v>20</v>
      </c>
      <c r="R3" t="s">
        <v>60</v>
      </c>
      <c r="S3" t="s">
        <v>12</v>
      </c>
      <c r="T3" t="s">
        <v>13</v>
      </c>
      <c r="U3" t="s">
        <v>17</v>
      </c>
      <c r="V3" t="s">
        <v>3</v>
      </c>
      <c r="X3" t="s">
        <v>9</v>
      </c>
      <c r="Y3" t="s">
        <v>10</v>
      </c>
      <c r="Z3" t="s">
        <v>15</v>
      </c>
      <c r="AA3" s="34"/>
      <c r="AB3" s="34"/>
      <c r="AC3" t="s">
        <v>60</v>
      </c>
      <c r="AD3" t="s">
        <v>12</v>
      </c>
      <c r="AE3" t="s">
        <v>13</v>
      </c>
      <c r="AF3" t="s">
        <v>17</v>
      </c>
      <c r="AG3" t="s">
        <v>3</v>
      </c>
      <c r="AK3" t="s">
        <v>9</v>
      </c>
      <c r="AL3" t="s">
        <v>10</v>
      </c>
      <c r="AM3" t="s">
        <v>69</v>
      </c>
      <c r="AN3" t="s">
        <v>55</v>
      </c>
      <c r="AP3" t="s">
        <v>60</v>
      </c>
      <c r="AQ3" t="s">
        <v>12</v>
      </c>
      <c r="AR3" t="s">
        <v>13</v>
      </c>
      <c r="AS3" t="s">
        <v>17</v>
      </c>
      <c r="AT3" t="s">
        <v>3</v>
      </c>
      <c r="AW3" t="s">
        <v>9</v>
      </c>
      <c r="AX3" t="s">
        <v>10</v>
      </c>
      <c r="AY3" t="s">
        <v>63</v>
      </c>
      <c r="AZ3" t="s">
        <v>55</v>
      </c>
      <c r="BA3" t="s">
        <v>56</v>
      </c>
      <c r="BB3" t="s">
        <v>60</v>
      </c>
      <c r="BC3" t="s">
        <v>12</v>
      </c>
      <c r="BD3" t="s">
        <v>13</v>
      </c>
      <c r="BE3" t="s">
        <v>17</v>
      </c>
      <c r="BF3" t="s">
        <v>3</v>
      </c>
    </row>
    <row r="4" spans="1:58" x14ac:dyDescent="0.35">
      <c r="A4" s="2" t="s">
        <v>50</v>
      </c>
      <c r="B4" s="2">
        <v>10.159960999999999</v>
      </c>
      <c r="C4">
        <v>46863594</v>
      </c>
      <c r="D4">
        <v>0</v>
      </c>
      <c r="E4">
        <v>366</v>
      </c>
      <c r="F4">
        <v>114</v>
      </c>
      <c r="G4">
        <v>11.387970691</v>
      </c>
      <c r="H4">
        <v>4.2332999999999998</v>
      </c>
      <c r="I4">
        <v>4.2833300000000003</v>
      </c>
      <c r="J4">
        <v>4.2333299999999996</v>
      </c>
      <c r="K4">
        <f>AVERAGE(H4:J4)</f>
        <v>4.2499866666666657</v>
      </c>
      <c r="M4">
        <v>46863594</v>
      </c>
      <c r="N4">
        <v>0</v>
      </c>
      <c r="O4">
        <v>463</v>
      </c>
      <c r="R4">
        <v>4.6477999999999998E-5</v>
      </c>
      <c r="S4">
        <v>80.916666699999993</v>
      </c>
      <c r="T4">
        <v>76.366669999999999</v>
      </c>
      <c r="U4">
        <v>75.616669999999999</v>
      </c>
      <c r="V4">
        <f>AVERAGE(S4:U4)</f>
        <v>77.633335566666673</v>
      </c>
      <c r="X4">
        <v>46863594</v>
      </c>
      <c r="Y4">
        <v>0</v>
      </c>
      <c r="Z4">
        <v>1471</v>
      </c>
      <c r="AA4" s="34"/>
      <c r="AB4" s="34"/>
      <c r="AC4">
        <v>3.1869454639999999</v>
      </c>
      <c r="AD4">
        <v>6.75</v>
      </c>
      <c r="AE4">
        <v>6.8166669999999998</v>
      </c>
      <c r="AF4">
        <v>6.5666700000000002</v>
      </c>
      <c r="AG4">
        <f>AVERAGE(AD4:AF4)</f>
        <v>6.7111123333333325</v>
      </c>
      <c r="AK4">
        <v>46863594</v>
      </c>
      <c r="AL4">
        <v>0</v>
      </c>
      <c r="AM4">
        <v>27398907</v>
      </c>
      <c r="AN4">
        <v>1969281</v>
      </c>
      <c r="AP4">
        <v>2.839784474</v>
      </c>
      <c r="AQ4">
        <v>134.35</v>
      </c>
      <c r="AR4">
        <v>136.58332999999999</v>
      </c>
      <c r="AS4">
        <v>134.91667000000001</v>
      </c>
      <c r="AT4">
        <f>AVERAGE(AQ4:AS4)</f>
        <v>135.28333333333333</v>
      </c>
      <c r="AW4">
        <v>46863594</v>
      </c>
      <c r="AX4">
        <v>0</v>
      </c>
      <c r="AY4">
        <v>27398907</v>
      </c>
      <c r="BB4">
        <v>2.7301880000000001</v>
      </c>
      <c r="BC4">
        <v>64.7</v>
      </c>
      <c r="BD4">
        <v>67.5</v>
      </c>
      <c r="BE4">
        <v>64.166669999999996</v>
      </c>
      <c r="BF4">
        <f>AVERAGE(BC4:BE4)</f>
        <v>65.455556666666666</v>
      </c>
    </row>
    <row r="5" spans="1:58" x14ac:dyDescent="0.35">
      <c r="A5" t="s">
        <v>52</v>
      </c>
      <c r="B5">
        <v>9.8097239999999992</v>
      </c>
      <c r="C5">
        <v>31215040</v>
      </c>
      <c r="D5">
        <v>0</v>
      </c>
      <c r="E5">
        <v>339</v>
      </c>
      <c r="F5">
        <v>102</v>
      </c>
      <c r="G5">
        <v>10.700712519</v>
      </c>
      <c r="H5">
        <v>3.1</v>
      </c>
      <c r="I5">
        <v>3.1333000000000002</v>
      </c>
      <c r="J5">
        <v>3.4</v>
      </c>
      <c r="K5">
        <f>AVERAGE(H5:J5)</f>
        <v>3.2111000000000001</v>
      </c>
      <c r="M5">
        <v>31215040</v>
      </c>
      <c r="N5">
        <v>0</v>
      </c>
      <c r="O5">
        <v>593</v>
      </c>
      <c r="R5">
        <v>7.5940999999999997E-5</v>
      </c>
      <c r="S5">
        <v>59.233333000000002</v>
      </c>
      <c r="T5">
        <v>55.1</v>
      </c>
      <c r="U5">
        <v>54.65</v>
      </c>
      <c r="V5">
        <f>AVERAGE(S5:U5)</f>
        <v>56.32777766666667</v>
      </c>
      <c r="X5">
        <v>31215040</v>
      </c>
      <c r="Y5">
        <v>0</v>
      </c>
      <c r="Z5">
        <v>1532</v>
      </c>
      <c r="AA5" s="34"/>
      <c r="AB5" s="34"/>
      <c r="AC5">
        <v>2.1166919809999998</v>
      </c>
      <c r="AD5">
        <v>4.8</v>
      </c>
      <c r="AE5">
        <v>4.8</v>
      </c>
      <c r="AF5">
        <v>4.8666700000000001</v>
      </c>
      <c r="AG5">
        <f>AVERAGE(AD5:AF5)</f>
        <v>4.8222233333333335</v>
      </c>
      <c r="AK5">
        <v>31215040</v>
      </c>
      <c r="AL5">
        <v>0</v>
      </c>
      <c r="AM5">
        <v>25928163</v>
      </c>
      <c r="AN5">
        <v>1644916</v>
      </c>
      <c r="AP5">
        <v>2.6885402589999998</v>
      </c>
      <c r="AQ5">
        <v>112.0333</v>
      </c>
      <c r="AR5">
        <v>114.85</v>
      </c>
      <c r="AS5">
        <v>112.06667</v>
      </c>
      <c r="AT5">
        <f>AVERAGE(AQ5:AS5)</f>
        <v>112.98332333333333</v>
      </c>
      <c r="AW5">
        <v>31215040</v>
      </c>
      <c r="AX5">
        <v>0</v>
      </c>
      <c r="AY5">
        <v>25928163</v>
      </c>
      <c r="BB5">
        <v>2.5848276069999998</v>
      </c>
      <c r="BC5">
        <v>53.65</v>
      </c>
      <c r="BD5">
        <v>55.063330000000001</v>
      </c>
      <c r="BE5">
        <v>53.766669999999998</v>
      </c>
      <c r="BF5">
        <f t="shared" ref="BF5:BF7" si="0">AVERAGE(BC5:BE5)</f>
        <v>54.16</v>
      </c>
    </row>
    <row r="6" spans="1:58" s="1" customFormat="1" x14ac:dyDescent="0.35">
      <c r="A6" s="1" t="s">
        <v>53</v>
      </c>
      <c r="B6" s="1">
        <v>9.6316880000000005</v>
      </c>
      <c r="C6" s="1">
        <v>23389198</v>
      </c>
      <c r="D6" s="1">
        <v>0</v>
      </c>
      <c r="E6" s="1">
        <v>279</v>
      </c>
      <c r="F6" s="1">
        <v>85</v>
      </c>
      <c r="G6" s="1">
        <v>10.354056689</v>
      </c>
      <c r="H6" s="1">
        <v>4.666666666666667</v>
      </c>
      <c r="I6" s="1">
        <v>4.5999999999999996</v>
      </c>
      <c r="J6" s="1">
        <v>3.2166666666666668</v>
      </c>
      <c r="K6" s="1">
        <v>4.1611111111111105</v>
      </c>
      <c r="M6" s="1">
        <v>23389198</v>
      </c>
      <c r="N6" s="1">
        <v>0</v>
      </c>
      <c r="O6" s="1">
        <v>535</v>
      </c>
      <c r="R6" s="1">
        <v>7.9147999999999995E-5</v>
      </c>
      <c r="S6" s="1">
        <v>51.766669999999998</v>
      </c>
      <c r="T6" s="1">
        <v>51.65</v>
      </c>
      <c r="U6" s="1">
        <v>57.583333333333336</v>
      </c>
      <c r="V6" s="1">
        <v>53.666667777777775</v>
      </c>
      <c r="X6" s="1">
        <v>23389198</v>
      </c>
      <c r="Y6" s="1">
        <v>0</v>
      </c>
      <c r="Z6" s="1">
        <v>1500</v>
      </c>
      <c r="AA6" s="35"/>
      <c r="AB6" s="35"/>
      <c r="AC6" s="1">
        <v>1.5832291110000001</v>
      </c>
      <c r="AD6" s="1">
        <v>4.6833333333333336</v>
      </c>
      <c r="AE6" s="1">
        <v>4.7666666666666666</v>
      </c>
      <c r="AF6" s="1">
        <v>4.7666666666666666</v>
      </c>
      <c r="AG6" s="1">
        <v>4.738888888888888</v>
      </c>
      <c r="AK6" s="1">
        <v>23389198</v>
      </c>
      <c r="AL6" s="1">
        <v>0</v>
      </c>
      <c r="AM6" s="1">
        <v>24428056</v>
      </c>
      <c r="AN6" s="1">
        <v>2904246</v>
      </c>
      <c r="AP6" s="1">
        <v>2.5439554289999999</v>
      </c>
      <c r="AQ6" s="1">
        <v>99.85</v>
      </c>
      <c r="AR6" s="1">
        <v>107.53333333333333</v>
      </c>
      <c r="AS6" s="1">
        <v>103</v>
      </c>
      <c r="AT6" s="1">
        <v>103.46111111111111</v>
      </c>
      <c r="AW6" s="1">
        <v>23389198</v>
      </c>
      <c r="AX6" s="1">
        <v>0</v>
      </c>
      <c r="AY6" s="1">
        <v>24428056</v>
      </c>
      <c r="BB6" s="1">
        <v>2.446243205</v>
      </c>
      <c r="BC6" s="1">
        <v>52.7</v>
      </c>
      <c r="BD6" s="8">
        <v>51.832999999999998</v>
      </c>
      <c r="BE6" s="1">
        <v>51.832999999999998</v>
      </c>
      <c r="BF6">
        <f t="shared" si="0"/>
        <v>52.121999999999993</v>
      </c>
    </row>
    <row r="7" spans="1:58" s="1" customFormat="1" x14ac:dyDescent="0.35">
      <c r="A7" s="1" t="s">
        <v>54</v>
      </c>
      <c r="B7" s="1">
        <v>9.5233369999999997</v>
      </c>
      <c r="C7" s="1">
        <v>18696233</v>
      </c>
      <c r="D7" s="1">
        <v>0</v>
      </c>
      <c r="E7" s="1">
        <v>311</v>
      </c>
      <c r="F7" s="1">
        <v>101</v>
      </c>
      <c r="G7" s="1">
        <v>10.144559947999999</v>
      </c>
      <c r="H7" s="1">
        <v>4.0666666666666664</v>
      </c>
      <c r="I7" s="1">
        <v>3.9166666666666665</v>
      </c>
      <c r="J7" s="1">
        <v>2.8333333333333335</v>
      </c>
      <c r="K7" s="1">
        <v>3.6055555555555556</v>
      </c>
      <c r="M7" s="1">
        <v>18696233</v>
      </c>
      <c r="N7" s="1">
        <v>0</v>
      </c>
      <c r="O7" s="1">
        <v>577</v>
      </c>
      <c r="R7" s="1">
        <v>9.7283999999999999E-5</v>
      </c>
      <c r="S7" s="1">
        <v>43.95</v>
      </c>
      <c r="T7" s="1">
        <v>44.05</v>
      </c>
      <c r="U7" s="1">
        <v>48.983333333333334</v>
      </c>
      <c r="V7" s="1">
        <v>45.661111111111119</v>
      </c>
      <c r="X7" s="1">
        <v>18696233</v>
      </c>
      <c r="Y7" s="1">
        <v>0</v>
      </c>
      <c r="Z7" s="1">
        <v>1517</v>
      </c>
      <c r="AA7" s="35"/>
      <c r="AB7" s="35"/>
      <c r="AC7" s="1">
        <v>1.263967826</v>
      </c>
      <c r="AD7" s="1">
        <v>4.083333333333333</v>
      </c>
      <c r="AE7" s="1">
        <v>4.1333333333333337</v>
      </c>
      <c r="AF7" s="1">
        <v>4.1333333333333337</v>
      </c>
      <c r="AG7" s="1">
        <v>4.1166666666666671</v>
      </c>
      <c r="AK7" s="1">
        <v>18696233</v>
      </c>
      <c r="AL7" s="1">
        <v>0</v>
      </c>
      <c r="AM7" s="1">
        <v>23126900</v>
      </c>
      <c r="AN7" s="1">
        <v>2645186</v>
      </c>
      <c r="AP7" s="1">
        <v>2.4150658059999999</v>
      </c>
      <c r="AQ7" s="1">
        <v>92</v>
      </c>
      <c r="AR7" s="1">
        <v>99.666666666666671</v>
      </c>
      <c r="AS7" s="1">
        <v>95.15</v>
      </c>
      <c r="AT7" s="1">
        <v>95.605555555555569</v>
      </c>
      <c r="AW7" s="1">
        <v>18696233</v>
      </c>
      <c r="AX7" s="1">
        <v>0</v>
      </c>
      <c r="AY7" s="1">
        <v>23126900</v>
      </c>
      <c r="BB7" s="1">
        <v>2.3225582060000001</v>
      </c>
      <c r="BC7" s="1">
        <v>44.283000000000001</v>
      </c>
      <c r="BD7" s="1">
        <v>47.433300000000003</v>
      </c>
      <c r="BE7" s="1">
        <v>47.65</v>
      </c>
      <c r="BF7">
        <f t="shared" si="0"/>
        <v>46.455433333333332</v>
      </c>
    </row>
    <row r="8" spans="1:58" x14ac:dyDescent="0.35">
      <c r="AA8" s="34"/>
      <c r="AB8" s="34"/>
    </row>
    <row r="9" spans="1:58" x14ac:dyDescent="0.35">
      <c r="A9" s="2" t="s">
        <v>5</v>
      </c>
      <c r="B9" s="2">
        <v>4.7699999999999999E-4</v>
      </c>
      <c r="C9">
        <v>2220</v>
      </c>
      <c r="D9">
        <v>2220</v>
      </c>
      <c r="E9">
        <v>2220</v>
      </c>
      <c r="F9">
        <v>1694</v>
      </c>
      <c r="G9">
        <v>7.1046399999999995E-4</v>
      </c>
      <c r="H9">
        <v>0</v>
      </c>
      <c r="I9">
        <v>0</v>
      </c>
      <c r="J9">
        <v>1.6666666666666666E-2</v>
      </c>
      <c r="K9">
        <f>AVERAGE(H9:J9)</f>
        <v>5.5555555555555558E-3</v>
      </c>
      <c r="M9">
        <v>2220</v>
      </c>
      <c r="N9">
        <v>2220</v>
      </c>
      <c r="O9">
        <v>2656</v>
      </c>
      <c r="R9">
        <v>6.1556200000000005E-4</v>
      </c>
      <c r="S9">
        <v>0</v>
      </c>
      <c r="T9">
        <v>0</v>
      </c>
      <c r="U9">
        <v>0</v>
      </c>
      <c r="V9">
        <f>AVERAGE(S9:U9)</f>
        <v>0</v>
      </c>
      <c r="X9">
        <v>2220</v>
      </c>
      <c r="Y9">
        <v>2220</v>
      </c>
      <c r="Z9">
        <v>2222</v>
      </c>
      <c r="AA9" s="34"/>
      <c r="AB9" s="34"/>
      <c r="AC9">
        <v>2.5119500000000001E-4</v>
      </c>
      <c r="AD9">
        <v>0</v>
      </c>
      <c r="AE9">
        <v>1.6666666666666666E-2</v>
      </c>
      <c r="AF9">
        <v>1.6666666666666666E-2</v>
      </c>
      <c r="AG9">
        <f>AVERAGE(AD9:AF9)</f>
        <v>1.1111111111111112E-2</v>
      </c>
      <c r="AK9">
        <v>2220</v>
      </c>
      <c r="AL9">
        <v>2220</v>
      </c>
      <c r="AM9">
        <v>3100</v>
      </c>
      <c r="AN9">
        <v>2584</v>
      </c>
      <c r="AP9">
        <v>7.0755500000000001E-4</v>
      </c>
      <c r="AQ9">
        <v>1.6666666666666666E-2</v>
      </c>
      <c r="AR9">
        <v>0</v>
      </c>
      <c r="AS9">
        <v>1.6666666666666701E-2</v>
      </c>
      <c r="AT9">
        <f>AVERAGE(AQ9:AS9)</f>
        <v>1.1111111111111122E-2</v>
      </c>
      <c r="AW9">
        <v>2220</v>
      </c>
      <c r="AX9">
        <v>2220</v>
      </c>
      <c r="AY9">
        <v>3100</v>
      </c>
      <c r="BB9">
        <v>6.9499999999999998E-4</v>
      </c>
      <c r="BC9">
        <f>4/60</f>
        <v>6.6666666666666666E-2</v>
      </c>
      <c r="BD9">
        <v>0.1</v>
      </c>
      <c r="BE9">
        <f>1/60</f>
        <v>1.6666666666666666E-2</v>
      </c>
      <c r="BF9">
        <f>AVERAGE(BC9:BE9)</f>
        <v>6.1111111111111116E-2</v>
      </c>
    </row>
    <row r="10" spans="1:58" x14ac:dyDescent="0.35">
      <c r="A10" t="s">
        <v>6</v>
      </c>
      <c r="B10">
        <v>4.6000000000000001E-4</v>
      </c>
      <c r="C10">
        <v>1470</v>
      </c>
      <c r="D10">
        <v>1470</v>
      </c>
      <c r="E10">
        <v>1470</v>
      </c>
      <c r="F10">
        <v>972</v>
      </c>
      <c r="G10">
        <v>6.2057400000000004E-4</v>
      </c>
      <c r="H10">
        <v>0</v>
      </c>
      <c r="I10">
        <v>0</v>
      </c>
      <c r="J10">
        <v>0</v>
      </c>
      <c r="K10">
        <f>AVERAGE(H10:J10)</f>
        <v>0</v>
      </c>
      <c r="M10">
        <v>1470</v>
      </c>
      <c r="N10">
        <v>1470</v>
      </c>
      <c r="O10">
        <v>1941</v>
      </c>
      <c r="R10">
        <v>5.5539599999999999E-4</v>
      </c>
      <c r="S10">
        <v>1.6666666666666666E-2</v>
      </c>
      <c r="T10">
        <v>0</v>
      </c>
      <c r="U10">
        <v>1.6666666666666666E-2</v>
      </c>
      <c r="V10">
        <f>AVERAGE(S10:U10)</f>
        <v>1.1111111111111112E-2</v>
      </c>
      <c r="X10">
        <v>1470</v>
      </c>
      <c r="Y10">
        <v>1470</v>
      </c>
      <c r="Z10">
        <v>1472</v>
      </c>
      <c r="AA10" s="34"/>
      <c r="AB10" s="34"/>
      <c r="AC10">
        <v>1.7292699999999999E-4</v>
      </c>
      <c r="AD10">
        <v>1.6666666666666666E-2</v>
      </c>
      <c r="AE10">
        <v>1.6666666666666666E-2</v>
      </c>
      <c r="AF10">
        <v>1.6666666666666666E-2</v>
      </c>
      <c r="AG10">
        <f>AVERAGE(AD10:AF10)</f>
        <v>1.6666666666666666E-2</v>
      </c>
      <c r="AK10">
        <v>1470</v>
      </c>
      <c r="AL10">
        <v>1470</v>
      </c>
      <c r="AM10">
        <v>2406</v>
      </c>
      <c r="AN10">
        <v>1750</v>
      </c>
      <c r="AP10">
        <v>6.5174299999999998E-4</v>
      </c>
      <c r="AQ10">
        <v>0</v>
      </c>
      <c r="AR10">
        <v>1.6666666666666701E-2</v>
      </c>
      <c r="AS10">
        <v>1.6666666666666701E-2</v>
      </c>
      <c r="AT10">
        <f>AVERAGE(AQ10:AS10)</f>
        <v>1.1111111111111134E-2</v>
      </c>
      <c r="AW10">
        <v>1470</v>
      </c>
      <c r="AX10">
        <v>1470</v>
      </c>
      <c r="AY10">
        <v>2406</v>
      </c>
      <c r="BB10">
        <v>6.4199999999999999E-4</v>
      </c>
      <c r="BC10">
        <v>1.6670000000000001E-2</v>
      </c>
      <c r="BD10">
        <v>0</v>
      </c>
      <c r="BE10">
        <f>1/60</f>
        <v>1.6666666666666666E-2</v>
      </c>
      <c r="BF10">
        <f t="shared" ref="BF10:BF12" si="1">AVERAGE(BC10:BE10)</f>
        <v>1.1112222222222223E-2</v>
      </c>
    </row>
    <row r="11" spans="1:58" s="1" customFormat="1" x14ac:dyDescent="0.35">
      <c r="A11" s="1" t="s">
        <v>7</v>
      </c>
      <c r="B11" s="1">
        <v>4.55E-4</v>
      </c>
      <c r="C11" s="1">
        <v>1110</v>
      </c>
      <c r="D11" s="1">
        <v>1110</v>
      </c>
      <c r="E11" s="1">
        <v>1110</v>
      </c>
      <c r="F11" s="1">
        <v>714</v>
      </c>
      <c r="G11" s="1">
        <v>5.8003999999999998E-4</v>
      </c>
      <c r="H11" s="1">
        <v>0</v>
      </c>
      <c r="I11" s="1">
        <v>0</v>
      </c>
      <c r="J11" s="1">
        <v>0</v>
      </c>
      <c r="K11" s="1">
        <v>0</v>
      </c>
      <c r="M11" s="1">
        <v>1110</v>
      </c>
      <c r="N11" s="1">
        <v>1110</v>
      </c>
      <c r="O11" s="1">
        <v>1563</v>
      </c>
      <c r="R11" s="1">
        <v>5.30938E-4</v>
      </c>
      <c r="S11" s="1">
        <v>0</v>
      </c>
      <c r="T11" s="1">
        <v>0</v>
      </c>
      <c r="U11" s="1">
        <v>0</v>
      </c>
      <c r="V11" s="1">
        <v>0</v>
      </c>
      <c r="X11" s="1">
        <v>1110</v>
      </c>
      <c r="Y11" s="1">
        <v>1110</v>
      </c>
      <c r="Z11" s="1">
        <v>1112</v>
      </c>
      <c r="AA11" s="35"/>
      <c r="AB11" s="35"/>
      <c r="AC11" s="1">
        <v>1.2940199999999998E-4</v>
      </c>
      <c r="AD11" s="1">
        <v>1.6666666666666666E-2</v>
      </c>
      <c r="AE11" s="1">
        <v>1.6666666666666666E-2</v>
      </c>
      <c r="AF11" s="1">
        <v>1.6666666666666666E-2</v>
      </c>
      <c r="AG11" s="1">
        <v>1.6666666666666666E-2</v>
      </c>
      <c r="AK11" s="1">
        <v>1110</v>
      </c>
      <c r="AL11" s="1">
        <v>1110</v>
      </c>
      <c r="AM11" s="1">
        <v>2073</v>
      </c>
      <c r="AN11" s="1">
        <v>1367</v>
      </c>
      <c r="AP11" s="1">
        <v>6.2974999999999999E-4</v>
      </c>
      <c r="AQ11" s="1">
        <v>0</v>
      </c>
      <c r="AR11" s="1">
        <v>0</v>
      </c>
      <c r="AS11" s="1">
        <v>1.6666666666666666E-2</v>
      </c>
      <c r="AT11" s="1">
        <v>5.5555555555555558E-3</v>
      </c>
      <c r="AW11" s="1">
        <v>1110</v>
      </c>
      <c r="AX11" s="1">
        <v>1110</v>
      </c>
      <c r="AY11" s="1">
        <v>2073</v>
      </c>
      <c r="BB11" s="1">
        <v>6.2145799999999997E-4</v>
      </c>
      <c r="BC11">
        <v>1.6670000000000001E-2</v>
      </c>
      <c r="BD11">
        <f>1/60</f>
        <v>1.6666666666666666E-2</v>
      </c>
      <c r="BE11" s="1">
        <v>0</v>
      </c>
      <c r="BF11">
        <f t="shared" si="1"/>
        <v>1.1112222222222223E-2</v>
      </c>
    </row>
    <row r="12" spans="1:58" s="1" customFormat="1" x14ac:dyDescent="0.35">
      <c r="A12" s="1" t="s">
        <v>8</v>
      </c>
      <c r="B12" s="1">
        <v>4.4200000000000001E-4</v>
      </c>
      <c r="C12" s="1">
        <v>870</v>
      </c>
      <c r="D12" s="1">
        <v>870</v>
      </c>
      <c r="E12" s="1">
        <v>870</v>
      </c>
      <c r="F12" s="1">
        <v>503</v>
      </c>
      <c r="G12" s="1">
        <v>5.4245599999999997E-4</v>
      </c>
      <c r="H12" s="1">
        <v>1.6666666666666666E-2</v>
      </c>
      <c r="I12" s="1">
        <v>0</v>
      </c>
      <c r="J12" s="1">
        <v>1.6666666666666666E-2</v>
      </c>
      <c r="K12" s="1">
        <v>1.1111111111111112E-2</v>
      </c>
      <c r="M12" s="1">
        <v>870</v>
      </c>
      <c r="N12" s="1">
        <v>870</v>
      </c>
      <c r="O12" s="1">
        <v>1350</v>
      </c>
      <c r="R12" s="1">
        <v>5.0350799999999995E-4</v>
      </c>
      <c r="S12" s="1">
        <v>0</v>
      </c>
      <c r="T12" s="1">
        <v>0</v>
      </c>
      <c r="U12" s="1">
        <v>1.6666666666666666E-2</v>
      </c>
      <c r="V12" s="1">
        <v>5.5555555555555558E-3</v>
      </c>
      <c r="X12" s="1">
        <v>870</v>
      </c>
      <c r="Y12" s="1">
        <v>870</v>
      </c>
      <c r="Z12" s="1">
        <v>872</v>
      </c>
      <c r="AA12" s="35"/>
      <c r="AB12" s="35"/>
      <c r="AC12" s="1">
        <v>1.02193E-4</v>
      </c>
      <c r="AD12" s="1">
        <v>1.6666666666666666E-2</v>
      </c>
      <c r="AE12" s="1">
        <v>1.6666666666666666E-2</v>
      </c>
      <c r="AF12" s="1">
        <v>1.6666666666666666E-2</v>
      </c>
      <c r="AG12" s="1">
        <v>1.6666666666666666E-2</v>
      </c>
      <c r="AK12" s="1">
        <v>870</v>
      </c>
      <c r="AL12" s="1">
        <v>870</v>
      </c>
      <c r="AM12" s="1">
        <v>1806</v>
      </c>
      <c r="AN12" s="1">
        <v>1083</v>
      </c>
      <c r="AP12" s="1">
        <v>6.0046000000000003E-4</v>
      </c>
      <c r="AQ12" s="1">
        <v>0</v>
      </c>
      <c r="AR12" s="1">
        <v>0</v>
      </c>
      <c r="AS12" s="1">
        <v>0</v>
      </c>
      <c r="AT12" s="1">
        <v>0</v>
      </c>
      <c r="AW12" s="1">
        <v>870</v>
      </c>
      <c r="AX12" s="1">
        <v>870</v>
      </c>
      <c r="AY12" s="1">
        <v>1806</v>
      </c>
      <c r="BB12" s="1">
        <v>5.9299999999999999E-4</v>
      </c>
      <c r="BC12">
        <v>1.6670000000000001E-2</v>
      </c>
      <c r="BD12">
        <f>1/60</f>
        <v>1.6666666666666666E-2</v>
      </c>
      <c r="BE12">
        <f>1/60</f>
        <v>1.6666666666666666E-2</v>
      </c>
      <c r="BF12">
        <f t="shared" si="1"/>
        <v>1.6667777777777778E-2</v>
      </c>
    </row>
    <row r="13" spans="1:58" x14ac:dyDescent="0.35">
      <c r="AB13" s="34"/>
    </row>
    <row r="14" spans="1:58" x14ac:dyDescent="0.35">
      <c r="BA14" s="7"/>
    </row>
    <row r="15" spans="1:58" x14ac:dyDescent="0.35">
      <c r="B15" s="14"/>
      <c r="C15" s="14"/>
      <c r="D15" s="14"/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  <c r="AA15" s="14"/>
      <c r="AB15" s="14"/>
      <c r="AC15" s="14"/>
      <c r="AD15" s="14"/>
      <c r="AY15" s="7"/>
      <c r="BA15" s="7"/>
    </row>
    <row r="16" spans="1:58" ht="18" customHeight="1" x14ac:dyDescent="0.35">
      <c r="B16" s="14"/>
      <c r="C16" s="14"/>
      <c r="D16" s="14"/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  <c r="AA16" s="14"/>
      <c r="AB16" s="14"/>
      <c r="AC16" s="14"/>
      <c r="AD16" s="14"/>
      <c r="AX16" s="1"/>
      <c r="AY16" s="7"/>
      <c r="AZ16" s="6"/>
    </row>
    <row r="17" spans="2:52" ht="14" customHeight="1" x14ac:dyDescent="0.35">
      <c r="B17" s="14"/>
      <c r="C17" s="14"/>
      <c r="D17" s="14"/>
      <c r="E17" s="14"/>
      <c r="F17" s="14"/>
      <c r="G17" s="14"/>
      <c r="H17" s="14"/>
      <c r="I17" s="14"/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  <c r="AA17" s="14"/>
      <c r="AB17" s="14"/>
      <c r="AC17" s="14"/>
      <c r="AD17" s="14"/>
      <c r="AY17" s="6"/>
      <c r="AZ17" s="6"/>
    </row>
    <row r="18" spans="2:52" ht="15.5" customHeight="1" x14ac:dyDescent="0.35">
      <c r="B18" s="14"/>
      <c r="C18" s="14"/>
      <c r="D18" s="14"/>
      <c r="E18" s="15"/>
      <c r="F18" s="14"/>
      <c r="G18" s="14"/>
      <c r="H18" s="14"/>
      <c r="I18" s="14"/>
      <c r="J18" s="14"/>
      <c r="K18" s="14"/>
      <c r="L18" s="14"/>
      <c r="M18" s="14"/>
      <c r="N18" s="16"/>
      <c r="O18" s="17"/>
      <c r="P18" s="17"/>
      <c r="Q18" s="17"/>
      <c r="R18" s="17"/>
      <c r="S18" s="17"/>
      <c r="T18" s="17"/>
      <c r="U18" s="14"/>
      <c r="V18" s="14"/>
      <c r="W18" s="14"/>
      <c r="X18" s="14"/>
      <c r="Y18" s="14"/>
      <c r="Z18" s="14"/>
      <c r="AA18" s="14"/>
      <c r="AB18" s="14"/>
      <c r="AC18" s="14"/>
      <c r="AD18" s="14"/>
    </row>
    <row r="19" spans="2:52" ht="15" customHeight="1" x14ac:dyDescent="0.35">
      <c r="B19" s="14"/>
      <c r="C19" s="14"/>
      <c r="D19" s="14"/>
      <c r="E19" s="18"/>
      <c r="F19" s="18"/>
      <c r="G19" s="18"/>
      <c r="H19" s="18"/>
      <c r="I19" s="14"/>
      <c r="J19" s="19"/>
      <c r="K19" s="19"/>
      <c r="L19" s="20"/>
      <c r="M19" s="17"/>
      <c r="N19" s="21"/>
      <c r="O19" s="17"/>
      <c r="P19" s="17"/>
      <c r="Q19" s="17"/>
      <c r="R19" s="17"/>
      <c r="S19" s="17"/>
      <c r="T19" s="17"/>
      <c r="U19" s="14"/>
      <c r="V19" s="14"/>
      <c r="W19" s="14"/>
      <c r="X19" s="14"/>
      <c r="Y19" s="14"/>
      <c r="Z19" s="14"/>
      <c r="AA19" s="14"/>
      <c r="AB19" s="14"/>
      <c r="AC19" s="14"/>
      <c r="AD19" s="14"/>
    </row>
    <row r="20" spans="2:52" ht="18.5" x14ac:dyDescent="0.35">
      <c r="B20" s="14"/>
      <c r="C20" s="14"/>
      <c r="D20" s="14"/>
      <c r="E20" s="22"/>
      <c r="F20" s="22"/>
      <c r="G20" s="23"/>
      <c r="H20" s="23"/>
      <c r="I20" s="14"/>
      <c r="J20" s="17"/>
      <c r="K20" s="24"/>
      <c r="L20" s="25"/>
      <c r="M20" s="17"/>
      <c r="N20" s="21"/>
      <c r="O20" s="17"/>
      <c r="P20" s="17"/>
      <c r="Q20" s="17"/>
      <c r="R20" s="17"/>
      <c r="S20" s="17"/>
      <c r="T20" s="17"/>
      <c r="U20" s="14"/>
      <c r="V20" s="14"/>
      <c r="W20" s="14"/>
      <c r="X20" s="14"/>
      <c r="Y20" s="26"/>
      <c r="Z20" s="27"/>
      <c r="AA20" s="27"/>
      <c r="AB20" s="27"/>
      <c r="AC20" s="27"/>
      <c r="AD20" s="27"/>
      <c r="AE20" s="5"/>
    </row>
    <row r="21" spans="2:52" ht="18.5" x14ac:dyDescent="0.35">
      <c r="B21" s="14"/>
      <c r="C21" s="14"/>
      <c r="D21" s="14"/>
      <c r="E21" s="22"/>
      <c r="F21" s="22"/>
      <c r="G21" s="23"/>
      <c r="H21" s="23"/>
      <c r="I21" s="14"/>
      <c r="J21" s="17"/>
      <c r="K21" s="24"/>
      <c r="L21" s="25"/>
      <c r="M21" s="17"/>
      <c r="N21" s="21"/>
      <c r="O21" s="17"/>
      <c r="P21" s="17"/>
      <c r="Q21" s="17"/>
      <c r="R21" s="17"/>
      <c r="S21" s="17"/>
      <c r="T21" s="17"/>
      <c r="U21" s="14"/>
      <c r="V21" s="14"/>
      <c r="W21" s="14"/>
      <c r="X21" s="14"/>
      <c r="Y21" s="14"/>
      <c r="Z21" s="28"/>
      <c r="AA21" s="28"/>
      <c r="AB21" s="28"/>
      <c r="AC21" s="28"/>
      <c r="AD21" s="28"/>
      <c r="AE21" s="4"/>
    </row>
    <row r="22" spans="2:52" ht="18.5" x14ac:dyDescent="0.35">
      <c r="B22" s="14"/>
      <c r="C22" s="14"/>
      <c r="D22" s="14"/>
      <c r="E22" s="22"/>
      <c r="F22" s="22"/>
      <c r="G22" s="23"/>
      <c r="H22" s="23"/>
      <c r="I22" s="14"/>
      <c r="J22" s="17"/>
      <c r="K22" s="24"/>
      <c r="L22" s="25"/>
      <c r="M22" s="17"/>
      <c r="N22" s="21"/>
      <c r="O22" s="17"/>
      <c r="P22" s="17"/>
      <c r="Q22" s="17"/>
      <c r="R22" s="17"/>
      <c r="S22" s="17"/>
      <c r="T22" s="17"/>
      <c r="U22" s="14"/>
      <c r="V22" s="14"/>
      <c r="W22" s="14"/>
      <c r="X22" s="14"/>
      <c r="Y22" s="14"/>
      <c r="Z22" s="28"/>
      <c r="AA22" s="28"/>
      <c r="AB22" s="28"/>
      <c r="AC22" s="28"/>
      <c r="AD22" s="28"/>
      <c r="AE22" s="4"/>
    </row>
    <row r="23" spans="2:52" x14ac:dyDescent="0.35">
      <c r="B23" s="14"/>
      <c r="C23" s="14"/>
      <c r="D23" s="14"/>
      <c r="E23" s="22"/>
      <c r="F23" s="22"/>
      <c r="G23" s="23"/>
      <c r="H23" s="23"/>
      <c r="I23" s="14"/>
      <c r="J23" s="17"/>
      <c r="K23" s="24"/>
      <c r="L23" s="25"/>
      <c r="M23" s="17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28"/>
      <c r="AA23" s="28"/>
      <c r="AB23" s="28"/>
      <c r="AC23" s="28"/>
      <c r="AD23" s="28"/>
      <c r="AE23" s="4"/>
    </row>
    <row r="24" spans="2:52" x14ac:dyDescent="0.35">
      <c r="B24" s="14"/>
      <c r="C24" s="14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28"/>
      <c r="AA24" s="28"/>
      <c r="AB24" s="28"/>
      <c r="AC24" s="28"/>
      <c r="AD24" s="28"/>
      <c r="AE24" s="4"/>
    </row>
    <row r="25" spans="2:52" ht="15" customHeight="1" x14ac:dyDescent="0.35">
      <c r="B25" s="14"/>
      <c r="C25" s="14"/>
      <c r="D25" s="29"/>
      <c r="E25" s="14"/>
      <c r="F25" s="14"/>
      <c r="G25" s="14"/>
      <c r="H25" s="14"/>
      <c r="I25" s="29"/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28"/>
      <c r="AA25" s="28"/>
      <c r="AB25" s="28"/>
      <c r="AC25" s="28"/>
      <c r="AD25" s="28"/>
      <c r="AE25" s="4"/>
    </row>
    <row r="26" spans="2:52" ht="16.5" customHeight="1" x14ac:dyDescent="0.35">
      <c r="B26" s="14"/>
      <c r="C26" s="14"/>
      <c r="D26" s="18"/>
      <c r="E26" s="18"/>
      <c r="F26" s="18"/>
      <c r="G26" s="18"/>
      <c r="H26" s="14"/>
      <c r="I26" s="18"/>
      <c r="J26" s="18"/>
      <c r="K26" s="18"/>
      <c r="L26" s="30"/>
      <c r="M26" s="14"/>
      <c r="N26" s="17"/>
      <c r="O26" s="17"/>
      <c r="P26" s="17"/>
      <c r="Q26" s="17"/>
      <c r="R26" s="14"/>
      <c r="S26" s="14"/>
      <c r="T26" s="14"/>
      <c r="U26" s="14"/>
      <c r="V26" s="14"/>
      <c r="W26" s="14"/>
      <c r="X26" s="14"/>
      <c r="Y26" s="14"/>
      <c r="Z26" s="14"/>
      <c r="AA26" s="14"/>
      <c r="AB26" s="14"/>
      <c r="AC26" s="14"/>
      <c r="AD26" s="14"/>
    </row>
    <row r="27" spans="2:52" x14ac:dyDescent="0.35">
      <c r="B27" s="14"/>
      <c r="C27" s="14"/>
      <c r="D27" s="22"/>
      <c r="E27" s="22"/>
      <c r="F27" s="23"/>
      <c r="G27" s="23"/>
      <c r="H27" s="14"/>
      <c r="I27" s="22"/>
      <c r="J27" s="22"/>
      <c r="K27" s="23"/>
      <c r="L27" s="22"/>
      <c r="M27" s="14"/>
      <c r="N27" s="17"/>
      <c r="O27" s="17"/>
      <c r="P27" s="17"/>
      <c r="Q27" s="17"/>
      <c r="R27" s="14"/>
      <c r="S27" s="14"/>
      <c r="T27" s="14"/>
      <c r="U27" s="14"/>
      <c r="V27" s="14"/>
      <c r="W27" s="14"/>
      <c r="X27" s="14"/>
      <c r="Y27" s="14"/>
      <c r="Z27" s="14"/>
      <c r="AA27" s="14"/>
      <c r="AB27" s="14"/>
      <c r="AC27" s="14"/>
      <c r="AD27" s="14"/>
    </row>
    <row r="28" spans="2:52" x14ac:dyDescent="0.35">
      <c r="B28" s="14"/>
      <c r="C28" s="14"/>
      <c r="D28" s="22"/>
      <c r="E28" s="22"/>
      <c r="F28" s="23"/>
      <c r="G28" s="23"/>
      <c r="H28" s="14"/>
      <c r="I28" s="22"/>
      <c r="J28" s="22"/>
      <c r="K28" s="23"/>
      <c r="L28" s="22"/>
      <c r="M28" s="14"/>
      <c r="N28" s="17"/>
      <c r="O28" s="17"/>
      <c r="P28" s="17"/>
      <c r="Q28" s="17"/>
      <c r="R28" s="14"/>
      <c r="S28" s="14"/>
      <c r="T28" s="14"/>
      <c r="U28" s="14"/>
      <c r="V28" s="14"/>
      <c r="W28" s="14"/>
      <c r="X28" s="14"/>
      <c r="Y28" s="14"/>
      <c r="Z28" s="14"/>
      <c r="AA28" s="14"/>
      <c r="AB28" s="14"/>
      <c r="AC28" s="14"/>
      <c r="AD28" s="14"/>
    </row>
    <row r="29" spans="2:52" x14ac:dyDescent="0.35">
      <c r="B29" s="14"/>
      <c r="C29" s="14"/>
      <c r="D29" s="22"/>
      <c r="E29" s="22"/>
      <c r="F29" s="23"/>
      <c r="G29" s="23"/>
      <c r="H29" s="14"/>
      <c r="I29" s="22"/>
      <c r="J29" s="22"/>
      <c r="K29" s="23"/>
      <c r="L29" s="22"/>
      <c r="M29" s="14"/>
      <c r="N29" s="17"/>
      <c r="O29" s="17"/>
      <c r="P29" s="17"/>
      <c r="Q29" s="17"/>
      <c r="R29" s="14"/>
      <c r="S29" s="14"/>
      <c r="T29" s="14"/>
      <c r="U29" s="14"/>
      <c r="V29" s="14"/>
      <c r="W29" s="14"/>
      <c r="X29" s="14"/>
      <c r="Y29" s="14"/>
      <c r="Z29" s="14"/>
      <c r="AA29" s="14"/>
      <c r="AB29" s="14"/>
      <c r="AC29" s="14"/>
      <c r="AD29" s="14"/>
    </row>
    <row r="30" spans="2:52" x14ac:dyDescent="0.35">
      <c r="B30" s="14"/>
      <c r="C30" s="14"/>
      <c r="D30" s="22"/>
      <c r="E30" s="22"/>
      <c r="F30" s="23"/>
      <c r="G30" s="22"/>
      <c r="H30" s="14"/>
      <c r="I30" s="22"/>
      <c r="J30" s="22"/>
      <c r="K30" s="23"/>
      <c r="L30" s="22"/>
      <c r="M30" s="14"/>
      <c r="N30" s="17"/>
      <c r="O30" s="17"/>
      <c r="P30" s="17"/>
      <c r="Q30" s="17"/>
      <c r="R30" s="14"/>
      <c r="S30" s="14"/>
      <c r="T30" s="14"/>
      <c r="U30" s="14"/>
      <c r="V30" s="14"/>
      <c r="W30" s="14"/>
      <c r="X30" s="14"/>
      <c r="Y30" s="14"/>
      <c r="Z30" s="14"/>
      <c r="AA30" s="14"/>
      <c r="AB30" s="14"/>
      <c r="AC30" s="14"/>
      <c r="AD30" s="14"/>
    </row>
    <row r="31" spans="2:52" x14ac:dyDescent="0.35">
      <c r="B31" s="14"/>
      <c r="C31" s="14"/>
      <c r="D31" s="14"/>
      <c r="E31" s="14"/>
      <c r="F31" s="14"/>
      <c r="G31" s="14"/>
      <c r="H31" s="14"/>
      <c r="I31" s="14"/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  <c r="AA31" s="14"/>
      <c r="AB31" s="14"/>
      <c r="AC31" s="14"/>
      <c r="AD31" s="14"/>
    </row>
    <row r="32" spans="2:52" x14ac:dyDescent="0.35">
      <c r="B32" s="14"/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  <c r="AA32" s="14"/>
      <c r="AB32" s="14"/>
      <c r="AC32" s="14"/>
      <c r="AD32" s="14"/>
    </row>
    <row r="33" spans="2:30" x14ac:dyDescent="0.35">
      <c r="B33" s="14"/>
      <c r="C33" s="14"/>
      <c r="D33" s="31"/>
      <c r="E33" s="31"/>
      <c r="F33" s="31"/>
      <c r="G33" s="31"/>
      <c r="H33" s="31"/>
      <c r="I33" s="14"/>
      <c r="J33" s="31"/>
      <c r="K33" s="31"/>
      <c r="L33" s="31"/>
      <c r="M33" s="31"/>
      <c r="N33" s="31"/>
      <c r="O33" s="14"/>
      <c r="P33" s="17"/>
      <c r="Q33" s="17"/>
      <c r="R33" s="17"/>
      <c r="S33" s="17"/>
      <c r="T33" s="17"/>
      <c r="U33" s="17"/>
      <c r="V33" s="17"/>
      <c r="W33" s="14"/>
      <c r="X33" s="17"/>
      <c r="Y33" s="17"/>
      <c r="Z33" s="17"/>
      <c r="AA33" s="17"/>
      <c r="AB33" s="14"/>
      <c r="AC33" s="14"/>
      <c r="AD33" s="14"/>
    </row>
    <row r="34" spans="2:30" x14ac:dyDescent="0.35">
      <c r="B34" s="14"/>
      <c r="C34" s="14"/>
      <c r="D34" s="32"/>
      <c r="E34" s="32"/>
      <c r="F34" s="32"/>
      <c r="G34" s="32"/>
      <c r="H34" s="32"/>
      <c r="I34" s="14"/>
      <c r="J34" s="32"/>
      <c r="K34" s="17"/>
      <c r="L34" s="17"/>
      <c r="M34" s="17"/>
      <c r="N34" s="17"/>
      <c r="O34" s="14"/>
      <c r="P34" s="17"/>
      <c r="Q34" s="17"/>
      <c r="R34" s="17"/>
      <c r="S34" s="17"/>
      <c r="T34" s="17"/>
      <c r="U34" s="17"/>
      <c r="V34" s="17"/>
      <c r="W34" s="14"/>
      <c r="X34" s="17"/>
      <c r="Y34" s="33"/>
      <c r="Z34" s="17"/>
      <c r="AA34" s="17"/>
      <c r="AB34" s="14"/>
      <c r="AC34" s="14"/>
      <c r="AD34" s="14"/>
    </row>
    <row r="35" spans="2:30" x14ac:dyDescent="0.35">
      <c r="B35" s="14"/>
      <c r="C35" s="14"/>
      <c r="D35" s="32"/>
      <c r="E35" s="32"/>
      <c r="F35" s="32"/>
      <c r="G35" s="32"/>
      <c r="H35" s="32"/>
      <c r="I35" s="14"/>
      <c r="J35" s="32"/>
      <c r="K35" s="17"/>
      <c r="L35" s="17"/>
      <c r="M35" s="17"/>
      <c r="N35" s="17"/>
      <c r="O35" s="14"/>
      <c r="P35" s="17"/>
      <c r="Q35" s="17"/>
      <c r="R35" s="17"/>
      <c r="S35" s="17"/>
      <c r="T35" s="17"/>
      <c r="U35" s="17"/>
      <c r="V35" s="17"/>
      <c r="W35" s="14"/>
      <c r="X35" s="17"/>
      <c r="Y35" s="17"/>
      <c r="Z35" s="17"/>
      <c r="AA35" s="17"/>
      <c r="AB35" s="14"/>
      <c r="AC35" s="14"/>
      <c r="AD35" s="14"/>
    </row>
    <row r="36" spans="2:30" x14ac:dyDescent="0.35">
      <c r="B36" s="14"/>
      <c r="C36" s="14"/>
      <c r="D36" s="32"/>
      <c r="E36" s="32"/>
      <c r="F36" s="32"/>
      <c r="G36" s="32"/>
      <c r="H36" s="32"/>
      <c r="I36" s="14"/>
      <c r="J36" s="32"/>
      <c r="K36" s="17"/>
      <c r="L36" s="17"/>
      <c r="M36" s="17"/>
      <c r="N36" s="17"/>
      <c r="O36" s="14"/>
      <c r="P36" s="17"/>
      <c r="Q36" s="17"/>
      <c r="R36" s="17"/>
      <c r="S36" s="17"/>
      <c r="T36" s="17"/>
      <c r="U36" s="17"/>
      <c r="V36" s="17"/>
      <c r="W36" s="14"/>
      <c r="X36" s="17"/>
      <c r="Y36" s="17"/>
      <c r="Z36" s="17"/>
      <c r="AA36" s="17"/>
      <c r="AB36" s="14"/>
      <c r="AC36" s="14"/>
      <c r="AD36" s="14"/>
    </row>
    <row r="37" spans="2:30" x14ac:dyDescent="0.35">
      <c r="B37" s="14"/>
      <c r="C37" s="14"/>
      <c r="D37" s="32"/>
      <c r="E37" s="32"/>
      <c r="F37" s="32"/>
      <c r="G37" s="32"/>
      <c r="H37" s="32"/>
      <c r="I37" s="14"/>
      <c r="J37" s="32"/>
      <c r="K37" s="17"/>
      <c r="L37" s="17"/>
      <c r="M37" s="17"/>
      <c r="N37" s="17"/>
      <c r="O37" s="14"/>
      <c r="P37" s="17"/>
      <c r="Q37" s="17"/>
      <c r="R37" s="17"/>
      <c r="S37" s="17"/>
      <c r="T37" s="17"/>
      <c r="U37" s="17"/>
      <c r="V37" s="17"/>
      <c r="W37" s="14"/>
      <c r="X37" s="17"/>
      <c r="Y37" s="17"/>
      <c r="Z37" s="17"/>
      <c r="AA37" s="17"/>
      <c r="AB37" s="14"/>
      <c r="AC37" s="14"/>
      <c r="AD37" s="14"/>
    </row>
    <row r="38" spans="2:30" x14ac:dyDescent="0.35">
      <c r="B38" s="14"/>
      <c r="C38" s="14"/>
      <c r="D38" s="14"/>
      <c r="E38" s="14"/>
      <c r="F38" s="14"/>
      <c r="G38" s="14"/>
      <c r="H38" s="14"/>
      <c r="I38" s="14"/>
      <c r="J38" s="14"/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  <c r="Z38" s="14"/>
      <c r="AA38" s="14"/>
      <c r="AB38" s="14"/>
      <c r="AC38" s="14"/>
      <c r="AD38" s="14"/>
    </row>
    <row r="39" spans="2:30" x14ac:dyDescent="0.35">
      <c r="B39" s="14"/>
      <c r="C39" s="14"/>
      <c r="D39" s="14"/>
      <c r="E39" s="14"/>
      <c r="F39" s="14"/>
      <c r="G39" s="14"/>
      <c r="H39" s="14"/>
      <c r="I39" s="14"/>
      <c r="J39" s="14"/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14"/>
      <c r="Y39" s="14"/>
      <c r="Z39" s="14"/>
      <c r="AA39" s="14"/>
      <c r="AB39" s="14"/>
      <c r="AC39" s="14"/>
      <c r="AD39" s="14"/>
    </row>
    <row r="40" spans="2:30" x14ac:dyDescent="0.35">
      <c r="B40" s="14"/>
      <c r="C40" s="14"/>
      <c r="D40" s="31"/>
      <c r="E40" s="31"/>
      <c r="F40" s="31"/>
      <c r="G40" s="31"/>
      <c r="H40" s="31"/>
      <c r="I40" s="14"/>
      <c r="J40" s="31"/>
      <c r="K40" s="31"/>
      <c r="L40" s="31"/>
      <c r="M40" s="31"/>
      <c r="N40" s="31"/>
      <c r="O40" s="14"/>
      <c r="P40" s="17"/>
      <c r="Q40" s="17"/>
      <c r="R40" s="17"/>
      <c r="S40" s="17"/>
      <c r="T40" s="17"/>
      <c r="U40" s="17"/>
      <c r="V40" s="17"/>
      <c r="W40" s="14"/>
      <c r="X40" s="17"/>
      <c r="Y40" s="17"/>
      <c r="Z40" s="17"/>
      <c r="AA40" s="17"/>
      <c r="AB40" s="17"/>
      <c r="AC40" s="14"/>
      <c r="AD40" s="14"/>
    </row>
    <row r="41" spans="2:30" x14ac:dyDescent="0.35">
      <c r="B41" s="14"/>
      <c r="C41" s="14"/>
      <c r="D41" s="32"/>
      <c r="E41" s="14"/>
      <c r="F41" s="14"/>
      <c r="G41" s="14"/>
      <c r="H41" s="14"/>
      <c r="I41" s="14"/>
      <c r="J41" s="32"/>
      <c r="K41" s="14"/>
      <c r="L41" s="14"/>
      <c r="M41" s="14"/>
      <c r="N41" s="14"/>
      <c r="O41" s="14"/>
      <c r="P41" s="17"/>
      <c r="Q41" s="17"/>
      <c r="R41" s="17"/>
      <c r="S41" s="17"/>
      <c r="T41" s="17"/>
      <c r="U41" s="17"/>
      <c r="V41" s="17"/>
      <c r="W41" s="14"/>
      <c r="X41" s="17"/>
      <c r="Y41" s="24"/>
      <c r="Z41" s="24"/>
      <c r="AA41" s="24"/>
      <c r="AB41" s="24"/>
      <c r="AC41" s="14"/>
      <c r="AD41" s="14"/>
    </row>
    <row r="42" spans="2:30" x14ac:dyDescent="0.35">
      <c r="B42" s="14"/>
      <c r="C42" s="14"/>
      <c r="D42" s="32"/>
      <c r="E42" s="14"/>
      <c r="F42" s="14"/>
      <c r="G42" s="14"/>
      <c r="H42" s="14"/>
      <c r="I42" s="14"/>
      <c r="J42" s="32"/>
      <c r="K42" s="14"/>
      <c r="L42" s="14"/>
      <c r="M42" s="14"/>
      <c r="N42" s="14"/>
      <c r="O42" s="14"/>
      <c r="P42" s="17"/>
      <c r="Q42" s="17"/>
      <c r="R42" s="17"/>
      <c r="S42" s="17"/>
      <c r="T42" s="17"/>
      <c r="U42" s="17"/>
      <c r="V42" s="17"/>
      <c r="W42" s="14"/>
      <c r="X42" s="17"/>
      <c r="Y42" s="24"/>
      <c r="Z42" s="24"/>
      <c r="AA42" s="24"/>
      <c r="AB42" s="24"/>
      <c r="AC42" s="14"/>
      <c r="AD42" s="14"/>
    </row>
    <row r="43" spans="2:30" x14ac:dyDescent="0.35">
      <c r="B43" s="14"/>
      <c r="C43" s="14"/>
      <c r="D43" s="32"/>
      <c r="E43" s="14"/>
      <c r="F43" s="15"/>
      <c r="G43" s="15"/>
      <c r="H43" s="15"/>
      <c r="I43" s="14"/>
      <c r="J43" s="32"/>
      <c r="K43" s="15"/>
      <c r="L43" s="15"/>
      <c r="M43" s="15"/>
      <c r="N43" s="15"/>
      <c r="O43" s="14"/>
      <c r="P43" s="17"/>
      <c r="Q43" s="17"/>
      <c r="R43" s="17"/>
      <c r="S43" s="17"/>
      <c r="T43" s="17"/>
      <c r="U43" s="17"/>
      <c r="V43" s="17"/>
      <c r="W43" s="14"/>
      <c r="X43" s="17"/>
      <c r="Y43" s="24"/>
      <c r="Z43" s="24"/>
      <c r="AA43" s="24"/>
      <c r="AB43" s="24"/>
      <c r="AC43" s="14"/>
      <c r="AD43" s="14"/>
    </row>
    <row r="44" spans="2:30" x14ac:dyDescent="0.35">
      <c r="B44" s="14"/>
      <c r="C44" s="14"/>
      <c r="D44" s="32"/>
      <c r="E44" s="14"/>
      <c r="F44" s="15"/>
      <c r="G44" s="15"/>
      <c r="H44" s="15"/>
      <c r="I44" s="14"/>
      <c r="J44" s="32"/>
      <c r="K44" s="15"/>
      <c r="L44" s="15"/>
      <c r="M44" s="15"/>
      <c r="N44" s="15"/>
      <c r="O44" s="14"/>
      <c r="P44" s="17"/>
      <c r="Q44" s="17"/>
      <c r="R44" s="17"/>
      <c r="S44" s="17"/>
      <c r="T44" s="17"/>
      <c r="U44" s="17"/>
      <c r="V44" s="17"/>
      <c r="W44" s="14"/>
      <c r="X44" s="17"/>
      <c r="Y44" s="24"/>
      <c r="Z44" s="24"/>
      <c r="AA44" s="24"/>
      <c r="AB44" s="24"/>
      <c r="AC44" s="14"/>
      <c r="AD44" s="14"/>
    </row>
    <row r="45" spans="2:30" x14ac:dyDescent="0.35">
      <c r="B45" s="14"/>
      <c r="C45" s="14"/>
      <c r="D45" s="14"/>
      <c r="E45" s="14"/>
      <c r="F45" s="14"/>
      <c r="G45" s="14"/>
      <c r="H45" s="14"/>
      <c r="I45" s="14"/>
      <c r="J45" s="14"/>
      <c r="K45" s="14"/>
      <c r="L45" s="14"/>
      <c r="M45" s="14"/>
      <c r="N45" s="14"/>
      <c r="O45" s="14"/>
      <c r="P45" s="14"/>
      <c r="Q45" s="14"/>
      <c r="R45" s="14"/>
      <c r="S45" s="14"/>
      <c r="T45" s="14"/>
      <c r="U45" s="14"/>
      <c r="V45" s="14"/>
      <c r="W45" s="14"/>
      <c r="X45" s="14"/>
      <c r="Y45" s="14"/>
      <c r="Z45" s="14"/>
      <c r="AA45" s="14"/>
      <c r="AB45" s="14"/>
      <c r="AC45" s="14"/>
      <c r="AD45" s="14"/>
    </row>
    <row r="46" spans="2:30" x14ac:dyDescent="0.35">
      <c r="B46" s="14"/>
      <c r="C46" s="14"/>
      <c r="D46" s="14"/>
      <c r="E46" s="14"/>
      <c r="F46" s="14"/>
      <c r="G46" s="14"/>
      <c r="H46" s="14"/>
      <c r="I46" s="14"/>
      <c r="J46" s="14"/>
      <c r="K46" s="14"/>
      <c r="L46" s="14"/>
      <c r="M46" s="14"/>
      <c r="N46" s="14"/>
      <c r="O46" s="14"/>
      <c r="P46" s="14"/>
      <c r="Q46" s="14"/>
      <c r="R46" s="14"/>
      <c r="S46" s="14"/>
      <c r="T46" s="14"/>
      <c r="U46" s="14"/>
      <c r="V46" s="14"/>
      <c r="W46" s="14"/>
      <c r="X46" s="14"/>
      <c r="Y46" s="14"/>
      <c r="Z46" s="14"/>
      <c r="AA46" s="14"/>
      <c r="AB46" s="14"/>
      <c r="AC46" s="14"/>
      <c r="AD46" s="14"/>
    </row>
    <row r="47" spans="2:30" x14ac:dyDescent="0.35">
      <c r="B47" s="14"/>
      <c r="C47" s="14"/>
      <c r="D47" s="14"/>
      <c r="E47" s="14"/>
      <c r="F47" s="14"/>
      <c r="G47" s="14"/>
      <c r="H47" s="14"/>
      <c r="I47" s="14"/>
      <c r="J47" s="14"/>
      <c r="K47" s="14"/>
      <c r="L47" s="14"/>
      <c r="M47" s="14"/>
      <c r="N47" s="14"/>
      <c r="O47" s="14"/>
      <c r="P47" s="14"/>
      <c r="Q47" s="14"/>
      <c r="R47" s="14"/>
      <c r="S47" s="14"/>
      <c r="T47" s="14"/>
      <c r="U47" s="14"/>
      <c r="V47" s="14"/>
      <c r="W47" s="14"/>
      <c r="X47" s="14"/>
      <c r="Y47" s="14"/>
      <c r="Z47" s="14"/>
      <c r="AA47" s="14"/>
      <c r="AB47" s="14"/>
      <c r="AC47" s="14"/>
      <c r="AD47" s="14"/>
    </row>
    <row r="48" spans="2:30" x14ac:dyDescent="0.35">
      <c r="B48" s="14"/>
      <c r="C48" s="14"/>
      <c r="D48" s="31"/>
      <c r="E48" s="31"/>
      <c r="F48" s="31"/>
      <c r="G48" s="31"/>
      <c r="H48" s="31"/>
      <c r="I48" s="14"/>
      <c r="J48" s="31"/>
      <c r="K48" s="31"/>
      <c r="L48" s="31"/>
      <c r="M48" s="31"/>
      <c r="N48" s="31"/>
      <c r="O48" s="14"/>
      <c r="P48" s="17"/>
      <c r="Q48" s="17"/>
      <c r="R48" s="17"/>
      <c r="S48" s="17"/>
      <c r="T48" s="17"/>
      <c r="U48" s="17"/>
      <c r="V48" s="17"/>
      <c r="W48" s="17"/>
      <c r="X48" s="14"/>
      <c r="Y48" s="17"/>
      <c r="Z48" s="17"/>
      <c r="AA48" s="17"/>
      <c r="AB48" s="17"/>
      <c r="AC48" s="17"/>
      <c r="AD48" s="17"/>
    </row>
    <row r="49" spans="2:30" x14ac:dyDescent="0.35">
      <c r="B49" s="14"/>
      <c r="C49" s="14"/>
      <c r="D49" s="32"/>
      <c r="E49" s="14"/>
      <c r="F49" s="14"/>
      <c r="G49" s="14"/>
      <c r="H49" s="14"/>
      <c r="I49" s="14"/>
      <c r="J49" s="32"/>
      <c r="K49" s="14"/>
      <c r="L49" s="14"/>
      <c r="M49" s="14"/>
      <c r="N49" s="14"/>
      <c r="O49" s="14"/>
      <c r="P49" s="17"/>
      <c r="Q49" s="17"/>
      <c r="R49" s="17"/>
      <c r="S49" s="17"/>
      <c r="T49" s="17"/>
      <c r="U49" s="17"/>
      <c r="V49" s="17"/>
      <c r="W49" s="17"/>
      <c r="X49" s="14"/>
      <c r="Y49" s="17"/>
      <c r="Z49" s="24"/>
      <c r="AA49" s="24"/>
      <c r="AB49" s="24"/>
      <c r="AC49" s="24"/>
      <c r="AD49" s="17"/>
    </row>
    <row r="50" spans="2:30" x14ac:dyDescent="0.35">
      <c r="B50" s="14"/>
      <c r="C50" s="14"/>
      <c r="D50" s="32"/>
      <c r="E50" s="14"/>
      <c r="F50" s="14"/>
      <c r="G50" s="14"/>
      <c r="H50" s="14"/>
      <c r="I50" s="14"/>
      <c r="J50" s="32"/>
      <c r="K50" s="14"/>
      <c r="L50" s="14"/>
      <c r="M50" s="14"/>
      <c r="N50" s="14"/>
      <c r="O50" s="14"/>
      <c r="P50" s="17"/>
      <c r="Q50" s="17"/>
      <c r="R50" s="17"/>
      <c r="S50" s="17"/>
      <c r="T50" s="17"/>
      <c r="U50" s="17"/>
      <c r="V50" s="17"/>
      <c r="W50" s="17"/>
      <c r="X50" s="14"/>
      <c r="Y50" s="17"/>
      <c r="Z50" s="24"/>
      <c r="AA50" s="24"/>
      <c r="AB50" s="24"/>
      <c r="AC50" s="24"/>
      <c r="AD50" s="17"/>
    </row>
    <row r="51" spans="2:30" x14ac:dyDescent="0.35">
      <c r="B51" s="14"/>
      <c r="C51" s="14"/>
      <c r="D51" s="32"/>
      <c r="E51" s="15"/>
      <c r="F51" s="15"/>
      <c r="G51" s="15"/>
      <c r="H51" s="15"/>
      <c r="I51" s="14"/>
      <c r="J51" s="32"/>
      <c r="K51" s="15"/>
      <c r="L51" s="15"/>
      <c r="M51" s="15"/>
      <c r="N51" s="15"/>
      <c r="O51" s="14"/>
      <c r="P51" s="17"/>
      <c r="Q51" s="17"/>
      <c r="R51" s="17"/>
      <c r="S51" s="17"/>
      <c r="T51" s="17"/>
      <c r="U51" s="17"/>
      <c r="V51" s="17"/>
      <c r="W51" s="17"/>
      <c r="X51" s="14"/>
      <c r="Y51" s="17"/>
      <c r="Z51" s="24"/>
      <c r="AA51" s="24"/>
      <c r="AB51" s="24"/>
      <c r="AC51" s="24"/>
      <c r="AD51" s="17"/>
    </row>
    <row r="52" spans="2:30" x14ac:dyDescent="0.35">
      <c r="B52" s="14"/>
      <c r="C52" s="14"/>
      <c r="D52" s="32"/>
      <c r="E52" s="15"/>
      <c r="F52" s="15"/>
      <c r="G52" s="15"/>
      <c r="H52" s="15"/>
      <c r="I52" s="14"/>
      <c r="J52" s="32"/>
      <c r="K52" s="15"/>
      <c r="L52" s="15"/>
      <c r="M52" s="15"/>
      <c r="N52" s="15"/>
      <c r="O52" s="14"/>
      <c r="P52" s="17"/>
      <c r="Q52" s="17"/>
      <c r="R52" s="17"/>
      <c r="S52" s="17"/>
      <c r="T52" s="17"/>
      <c r="U52" s="17"/>
      <c r="V52" s="17"/>
      <c r="W52" s="17"/>
      <c r="X52" s="14"/>
      <c r="Y52" s="17"/>
      <c r="Z52" s="24"/>
      <c r="AA52" s="24"/>
      <c r="AB52" s="24"/>
      <c r="AC52" s="24"/>
      <c r="AD52" s="17"/>
    </row>
    <row r="53" spans="2:30" x14ac:dyDescent="0.35">
      <c r="B53" s="14"/>
      <c r="C53" s="14"/>
      <c r="D53" s="14"/>
      <c r="E53" s="14"/>
      <c r="F53" s="14"/>
      <c r="G53" s="14"/>
      <c r="H53" s="14"/>
      <c r="I53" s="14"/>
      <c r="J53" s="14"/>
      <c r="K53" s="14"/>
      <c r="L53" s="14"/>
      <c r="M53" s="14"/>
      <c r="N53" s="14"/>
      <c r="O53" s="14"/>
      <c r="P53" s="14"/>
      <c r="Q53" s="14"/>
      <c r="R53" s="14"/>
      <c r="S53" s="14"/>
      <c r="T53" s="14"/>
      <c r="U53" s="14"/>
      <c r="V53" s="14"/>
      <c r="W53" s="14"/>
      <c r="X53" s="14"/>
      <c r="Y53" s="14"/>
      <c r="Z53" s="14"/>
      <c r="AA53" s="14"/>
      <c r="AB53" s="14"/>
      <c r="AC53" s="14"/>
      <c r="AD53" s="14"/>
    </row>
    <row r="54" spans="2:30" x14ac:dyDescent="0.35">
      <c r="B54" s="14"/>
      <c r="C54" s="14"/>
      <c r="D54" s="14"/>
      <c r="E54" s="14"/>
      <c r="F54" s="14"/>
      <c r="G54" s="14"/>
      <c r="H54" s="14"/>
      <c r="I54" s="14"/>
      <c r="J54" s="14"/>
      <c r="K54" s="14"/>
      <c r="L54" s="14"/>
      <c r="M54" s="14"/>
      <c r="N54" s="14"/>
      <c r="O54" s="14"/>
      <c r="P54" s="14"/>
      <c r="Q54" s="14"/>
      <c r="R54" s="14"/>
      <c r="S54" s="14"/>
      <c r="T54" s="14"/>
      <c r="U54" s="14"/>
      <c r="V54" s="14"/>
      <c r="W54" s="14"/>
      <c r="X54" s="14"/>
      <c r="Y54" s="14"/>
      <c r="Z54" s="14"/>
      <c r="AA54" s="14"/>
      <c r="AB54" s="14"/>
      <c r="AC54" s="14"/>
      <c r="AD54" s="14"/>
    </row>
    <row r="55" spans="2:30" x14ac:dyDescent="0.35">
      <c r="B55" s="14"/>
      <c r="C55" s="14"/>
      <c r="D55" s="14"/>
      <c r="E55" s="14"/>
      <c r="F55" s="14"/>
      <c r="G55" s="14"/>
      <c r="H55" s="14"/>
      <c r="I55" s="14"/>
      <c r="J55" s="14"/>
      <c r="K55" s="14"/>
      <c r="L55" s="14"/>
      <c r="M55" s="14"/>
      <c r="N55" s="14"/>
      <c r="O55" s="14"/>
      <c r="P55" s="14"/>
      <c r="Q55" s="14"/>
      <c r="R55" s="14"/>
      <c r="S55" s="14"/>
      <c r="T55" s="14"/>
      <c r="U55" s="14"/>
      <c r="V55" s="14"/>
      <c r="W55" s="14"/>
      <c r="X55" s="14"/>
      <c r="Y55" s="14"/>
      <c r="Z55" s="14"/>
      <c r="AA55" s="14"/>
      <c r="AB55" s="14"/>
      <c r="AC55" s="14"/>
      <c r="AD55" s="14"/>
    </row>
    <row r="56" spans="2:30" x14ac:dyDescent="0.35">
      <c r="B56" s="14"/>
      <c r="C56" s="14"/>
      <c r="D56" s="14"/>
      <c r="E56" s="14"/>
      <c r="F56" s="14"/>
      <c r="G56" s="14"/>
      <c r="H56" s="14"/>
      <c r="I56" s="14"/>
      <c r="J56" s="14"/>
      <c r="K56" s="14"/>
      <c r="L56" s="14"/>
      <c r="M56" s="14"/>
      <c r="N56" s="14"/>
      <c r="O56" s="14"/>
      <c r="P56" s="14"/>
      <c r="Q56" s="14"/>
      <c r="R56" s="14"/>
      <c r="S56" s="14"/>
      <c r="T56" s="14"/>
      <c r="U56" s="14"/>
      <c r="V56" s="14"/>
      <c r="W56" s="14"/>
      <c r="X56" s="14"/>
      <c r="Y56" s="14"/>
      <c r="Z56" s="14"/>
      <c r="AA56" s="14"/>
      <c r="AB56" s="14"/>
      <c r="AC56" s="14"/>
      <c r="AD56" s="14"/>
    </row>
    <row r="57" spans="2:30" x14ac:dyDescent="0.35">
      <c r="B57" s="14"/>
      <c r="C57" s="14"/>
      <c r="D57" s="14"/>
      <c r="E57" s="14"/>
      <c r="F57" s="14"/>
      <c r="G57" s="14"/>
      <c r="H57" s="14"/>
      <c r="I57" s="14"/>
      <c r="J57" s="14"/>
      <c r="K57" s="14"/>
      <c r="L57" s="14"/>
      <c r="M57" s="14"/>
      <c r="N57" s="14"/>
      <c r="O57" s="14"/>
      <c r="P57" s="14"/>
      <c r="Q57" s="14"/>
      <c r="R57" s="14"/>
      <c r="S57" s="14"/>
      <c r="T57" s="14"/>
      <c r="U57" s="14"/>
      <c r="V57" s="14"/>
      <c r="W57" s="14"/>
      <c r="X57" s="14"/>
      <c r="Y57" s="14"/>
      <c r="Z57" s="14"/>
      <c r="AA57" s="14"/>
      <c r="AB57" s="14"/>
      <c r="AC57" s="14"/>
      <c r="AD57" s="14"/>
    </row>
    <row r="58" spans="2:30" x14ac:dyDescent="0.35">
      <c r="B58" s="14"/>
      <c r="C58" s="14"/>
      <c r="D58" s="14"/>
      <c r="E58" s="14"/>
      <c r="F58" s="14"/>
      <c r="G58" s="14"/>
      <c r="H58" s="14"/>
      <c r="I58" s="14"/>
      <c r="J58" s="14"/>
      <c r="K58" s="14"/>
      <c r="L58" s="14"/>
      <c r="M58" s="14"/>
      <c r="N58" s="14"/>
      <c r="O58" s="14"/>
      <c r="P58" s="14"/>
      <c r="Q58" s="14"/>
      <c r="R58" s="14"/>
      <c r="S58" s="14"/>
      <c r="T58" s="14"/>
      <c r="U58" s="14"/>
      <c r="V58" s="14"/>
      <c r="W58" s="14"/>
      <c r="X58" s="14"/>
      <c r="Y58" s="14"/>
      <c r="Z58" s="14"/>
      <c r="AA58" s="14"/>
      <c r="AB58" s="14"/>
      <c r="AC58" s="14"/>
      <c r="AD58" s="14"/>
    </row>
    <row r="59" spans="2:30" x14ac:dyDescent="0.35">
      <c r="B59" s="14"/>
      <c r="C59" s="14"/>
      <c r="D59" s="14"/>
      <c r="E59" s="14"/>
      <c r="F59" s="14"/>
      <c r="G59" s="14"/>
      <c r="H59" s="14"/>
      <c r="I59" s="14"/>
      <c r="J59" s="14"/>
      <c r="K59" s="14"/>
      <c r="L59" s="14"/>
      <c r="M59" s="14"/>
      <c r="N59" s="14"/>
      <c r="O59" s="14"/>
      <c r="P59" s="14"/>
      <c r="Q59" s="14"/>
      <c r="R59" s="14"/>
      <c r="S59" s="14"/>
      <c r="T59" s="14"/>
      <c r="U59" s="14"/>
      <c r="V59" s="14"/>
      <c r="W59" s="14"/>
      <c r="X59" s="14"/>
      <c r="Y59" s="14"/>
      <c r="Z59" s="14"/>
      <c r="AA59" s="14"/>
      <c r="AB59" s="14"/>
      <c r="AC59" s="14"/>
      <c r="AD59" s="14"/>
    </row>
    <row r="60" spans="2:30" x14ac:dyDescent="0.35">
      <c r="B60" s="14"/>
      <c r="C60" s="14"/>
      <c r="D60" s="14"/>
      <c r="E60" s="14"/>
      <c r="F60" s="14"/>
      <c r="G60" s="14"/>
      <c r="H60" s="14"/>
      <c r="I60" s="14"/>
      <c r="J60" s="14"/>
      <c r="K60" s="14"/>
      <c r="L60" s="14"/>
      <c r="M60" s="14"/>
      <c r="N60" s="14"/>
      <c r="O60" s="14"/>
      <c r="P60" s="14"/>
      <c r="Q60" s="14"/>
      <c r="R60" s="14"/>
      <c r="S60" s="14"/>
      <c r="T60" s="14"/>
      <c r="U60" s="14"/>
      <c r="V60" s="14"/>
      <c r="W60" s="14"/>
      <c r="X60" s="14"/>
      <c r="Y60" s="14"/>
      <c r="Z60" s="14"/>
      <c r="AA60" s="14"/>
      <c r="AB60" s="14"/>
      <c r="AC60" s="14"/>
      <c r="AD60" s="14"/>
    </row>
    <row r="61" spans="2:30" x14ac:dyDescent="0.35">
      <c r="B61" s="14"/>
      <c r="C61" s="14"/>
      <c r="D61" s="14"/>
      <c r="E61" s="14"/>
      <c r="F61" s="14"/>
      <c r="G61" s="14"/>
      <c r="H61" s="14"/>
      <c r="I61" s="14"/>
      <c r="J61" s="14"/>
      <c r="K61" s="14"/>
      <c r="L61" s="14"/>
      <c r="M61" s="14"/>
      <c r="N61" s="14"/>
      <c r="O61" s="14"/>
      <c r="P61" s="14"/>
      <c r="Q61" s="14"/>
      <c r="R61" s="14"/>
      <c r="S61" s="14"/>
      <c r="T61" s="14"/>
      <c r="U61" s="14"/>
      <c r="V61" s="14"/>
      <c r="W61" s="14"/>
      <c r="X61" s="14"/>
      <c r="Y61" s="14"/>
      <c r="Z61" s="14"/>
      <c r="AA61" s="14"/>
      <c r="AB61" s="14"/>
      <c r="AC61" s="14"/>
      <c r="AD61" s="14"/>
    </row>
    <row r="62" spans="2:30" x14ac:dyDescent="0.35">
      <c r="B62" s="14"/>
      <c r="C62" s="14"/>
      <c r="D62" s="14"/>
      <c r="E62" s="14"/>
      <c r="F62" s="14"/>
      <c r="G62" s="14"/>
      <c r="H62" s="14"/>
      <c r="I62" s="14"/>
      <c r="J62" s="14"/>
      <c r="K62" s="14"/>
      <c r="L62" s="14"/>
      <c r="M62" s="14"/>
      <c r="N62" s="14"/>
      <c r="O62" s="14"/>
      <c r="P62" s="14"/>
      <c r="Q62" s="14"/>
      <c r="R62" s="14"/>
      <c r="S62" s="14"/>
      <c r="T62" s="14"/>
      <c r="U62" s="14"/>
      <c r="V62" s="14"/>
      <c r="W62" s="14"/>
      <c r="X62" s="14"/>
      <c r="Y62" s="14"/>
      <c r="Z62" s="14"/>
      <c r="AA62" s="14"/>
      <c r="AB62" s="14"/>
      <c r="AC62" s="14"/>
      <c r="AD62" s="14"/>
    </row>
    <row r="63" spans="2:30" x14ac:dyDescent="0.35">
      <c r="B63" s="14"/>
      <c r="C63" s="14"/>
      <c r="D63" s="14"/>
      <c r="E63" s="14"/>
      <c r="F63" s="14"/>
      <c r="G63" s="14"/>
      <c r="H63" s="14"/>
      <c r="I63" s="14"/>
      <c r="J63" s="14"/>
      <c r="K63" s="14"/>
      <c r="L63" s="14"/>
      <c r="M63" s="14"/>
      <c r="N63" s="14"/>
      <c r="O63" s="14"/>
      <c r="P63" s="14"/>
      <c r="Q63" s="14"/>
      <c r="R63" s="14"/>
      <c r="S63" s="14"/>
      <c r="T63" s="14"/>
      <c r="U63" s="14"/>
      <c r="V63" s="14"/>
      <c r="W63" s="14"/>
      <c r="X63" s="14"/>
      <c r="Y63" s="14"/>
      <c r="Z63" s="14"/>
      <c r="AA63" s="14"/>
      <c r="AB63" s="14"/>
      <c r="AC63" s="14"/>
      <c r="AD63" s="14"/>
    </row>
  </sheetData>
  <mergeCells count="5">
    <mergeCell ref="E2:J2"/>
    <mergeCell ref="O2:V2"/>
    <mergeCell ref="Z2:AG2"/>
    <mergeCell ref="AM2:AT2"/>
    <mergeCell ref="AY2:BF2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981787-162B-4FC2-A520-D901CE8A93B5}">
  <dimension ref="A2:C27"/>
  <sheetViews>
    <sheetView workbookViewId="0">
      <selection activeCell="C13" sqref="C13"/>
    </sheetView>
  </sheetViews>
  <sheetFormatPr defaultRowHeight="14.5" x14ac:dyDescent="0.35"/>
  <cols>
    <col min="1" max="1" width="15" customWidth="1"/>
    <col min="2" max="2" width="70.54296875" customWidth="1"/>
  </cols>
  <sheetData>
    <row r="2" spans="1:3" x14ac:dyDescent="0.35">
      <c r="A2" s="1"/>
      <c r="B2" s="1" t="s">
        <v>21</v>
      </c>
      <c r="C2" s="1"/>
    </row>
    <row r="3" spans="1:3" x14ac:dyDescent="0.35">
      <c r="A3" s="1" t="s">
        <v>30</v>
      </c>
      <c r="B3" s="1" t="s">
        <v>2</v>
      </c>
      <c r="C3" s="1" t="s">
        <v>31</v>
      </c>
    </row>
    <row r="4" spans="1:3" x14ac:dyDescent="0.35">
      <c r="A4" t="s">
        <v>33</v>
      </c>
      <c r="B4" t="s">
        <v>0</v>
      </c>
      <c r="C4" t="s">
        <v>24</v>
      </c>
    </row>
    <row r="5" spans="1:3" x14ac:dyDescent="0.35">
      <c r="A5" t="s">
        <v>33</v>
      </c>
      <c r="B5" t="s">
        <v>68</v>
      </c>
      <c r="C5" t="s">
        <v>23</v>
      </c>
    </row>
    <row r="6" spans="1:3" x14ac:dyDescent="0.35">
      <c r="A6" t="s">
        <v>32</v>
      </c>
      <c r="B6" t="s">
        <v>26</v>
      </c>
      <c r="C6" t="s">
        <v>22</v>
      </c>
    </row>
    <row r="7" spans="1:3" x14ac:dyDescent="0.35">
      <c r="A7" t="s">
        <v>32</v>
      </c>
      <c r="B7" t="s">
        <v>29</v>
      </c>
      <c r="C7" t="s">
        <v>28</v>
      </c>
    </row>
    <row r="8" spans="1:3" x14ac:dyDescent="0.35">
      <c r="A8" t="s">
        <v>27</v>
      </c>
      <c r="B8" t="s">
        <v>27</v>
      </c>
      <c r="C8" t="s">
        <v>25</v>
      </c>
    </row>
    <row r="12" spans="1:3" x14ac:dyDescent="0.35">
      <c r="B12" s="1" t="s">
        <v>34</v>
      </c>
    </row>
    <row r="13" spans="1:3" x14ac:dyDescent="0.35">
      <c r="A13" t="s">
        <v>1</v>
      </c>
      <c r="B13" t="s">
        <v>58</v>
      </c>
      <c r="C13" t="s">
        <v>70</v>
      </c>
    </row>
    <row r="14" spans="1:3" x14ac:dyDescent="0.35">
      <c r="A14" t="s">
        <v>35</v>
      </c>
      <c r="B14" t="s">
        <v>57</v>
      </c>
      <c r="C14" t="s">
        <v>59</v>
      </c>
    </row>
    <row r="15" spans="1:3" x14ac:dyDescent="0.35">
      <c r="A15" t="s">
        <v>36</v>
      </c>
      <c r="B15" t="s">
        <v>37</v>
      </c>
    </row>
    <row r="16" spans="1:3" x14ac:dyDescent="0.35">
      <c r="B16" t="s">
        <v>38</v>
      </c>
    </row>
    <row r="17" spans="2:2" x14ac:dyDescent="0.35">
      <c r="B17" t="s">
        <v>39</v>
      </c>
    </row>
    <row r="18" spans="2:2" x14ac:dyDescent="0.35">
      <c r="B18" t="s">
        <v>40</v>
      </c>
    </row>
    <row r="19" spans="2:2" x14ac:dyDescent="0.35">
      <c r="B19" t="s">
        <v>41</v>
      </c>
    </row>
    <row r="20" spans="2:2" x14ac:dyDescent="0.35">
      <c r="B20" t="s">
        <v>42</v>
      </c>
    </row>
    <row r="21" spans="2:2" x14ac:dyDescent="0.35">
      <c r="B21" t="s">
        <v>43</v>
      </c>
    </row>
    <row r="22" spans="2:2" x14ac:dyDescent="0.35">
      <c r="B22" t="s">
        <v>44</v>
      </c>
    </row>
    <row r="23" spans="2:2" x14ac:dyDescent="0.35">
      <c r="B23" t="s">
        <v>45</v>
      </c>
    </row>
    <row r="24" spans="2:2" x14ac:dyDescent="0.35">
      <c r="B24" t="s">
        <v>46</v>
      </c>
    </row>
    <row r="25" spans="2:2" x14ac:dyDescent="0.35">
      <c r="B25" t="s">
        <v>47</v>
      </c>
    </row>
    <row r="26" spans="2:2" x14ac:dyDescent="0.35">
      <c r="B26" t="s">
        <v>48</v>
      </c>
    </row>
    <row r="27" spans="2:2" x14ac:dyDescent="0.35">
      <c r="B27" t="s">
        <v>49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AD56801-5830-4C04-864B-116D450724D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10x</vt:lpstr>
      <vt:lpstr>Scripts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Farrell, Katie (CDC/DDID/NCIRD/DVD) (CTR)</dc:creator>
  <cp:lastModifiedBy>Farrell, Katie (CDC/NCIRD/DVD) (CTR)</cp:lastModifiedBy>
  <dcterms:created xsi:type="dcterms:W3CDTF">2022-08-31T18:06:38Z</dcterms:created>
  <dcterms:modified xsi:type="dcterms:W3CDTF">2026-05-22T18:52:01Z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b94a7b8-f06c-4dfe-bdcc-9b548fd58c31_Enabled">
    <vt:lpwstr>true</vt:lpwstr>
  </property>
  <property fmtid="{D5CDD505-2E9C-101B-9397-08002B2CF9AE}" pid="3" name="MSIP_Label_7b94a7b8-f06c-4dfe-bdcc-9b548fd58c31_SetDate">
    <vt:lpwstr>2022-08-31T20:18:56Z</vt:lpwstr>
  </property>
  <property fmtid="{D5CDD505-2E9C-101B-9397-08002B2CF9AE}" pid="4" name="MSIP_Label_7b94a7b8-f06c-4dfe-bdcc-9b548fd58c31_Method">
    <vt:lpwstr>Privileged</vt:lpwstr>
  </property>
  <property fmtid="{D5CDD505-2E9C-101B-9397-08002B2CF9AE}" pid="5" name="MSIP_Label_7b94a7b8-f06c-4dfe-bdcc-9b548fd58c31_Name">
    <vt:lpwstr>7b94a7b8-f06c-4dfe-bdcc-9b548fd58c31</vt:lpwstr>
  </property>
  <property fmtid="{D5CDD505-2E9C-101B-9397-08002B2CF9AE}" pid="6" name="MSIP_Label_7b94a7b8-f06c-4dfe-bdcc-9b548fd58c31_SiteId">
    <vt:lpwstr>9ce70869-60db-44fd-abe8-d2767077fc8f</vt:lpwstr>
  </property>
  <property fmtid="{D5CDD505-2E9C-101B-9397-08002B2CF9AE}" pid="7" name="MSIP_Label_7b94a7b8-f06c-4dfe-bdcc-9b548fd58c31_ActionId">
    <vt:lpwstr>221b1f27-511a-49b9-ab43-4f9baf0473a9</vt:lpwstr>
  </property>
  <property fmtid="{D5CDD505-2E9C-101B-9397-08002B2CF9AE}" pid="8" name="MSIP_Label_7b94a7b8-f06c-4dfe-bdcc-9b548fd58c31_ContentBits">
    <vt:lpwstr>0</vt:lpwstr>
  </property>
</Properties>
</file>